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threadedComments/threadedComment2.xml" ContentType="application/vnd.ms-excel.threadedcomment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Batería" sheetId="1" state="visible" r:id="rId3"/>
    <sheet name="Costos" sheetId="2" state="visible" r:id="rId4"/>
    <sheet name="Cronología" sheetId="3" state="visible" r:id="rId5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tc={144BCBE1-AA2B-AF66-A192-8C39C2B2E6A9}</author>
    <author>tc={F01FD7B1-2F45-0B14-9972-A7554400386F}</author>
    <author>tc={354F0676-B10D-1EF9-4F8D-5B58331E28DF}</author>
    <author>tc={5BC188A9-7734-CDFA-5E5C-04AFEC523C79}</author>
    <author>tc={2DC46168-A174-B54A-40D6-0F62CD9062BE}</author>
  </authors>
  <commentList>
    <comment ref="B11" authorId="0" xr:uid="{144BCBE1-AA2B-AF66-A192-8C39C2B2E6A9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GPS: OFF
Bluetooth: OFF
</t>
        </r>
      </text>
    </comment>
    <comment ref="B12" authorId="1" xr:uid="{F01FD7B1-2F45-0B14-9972-A7554400386F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GPS: ON
Bluetooth: ON
</t>
        </r>
      </text>
    </comment>
    <comment ref="G6" authorId="2" xr:uid="{354F0676-B10D-1EF9-4F8D-5B58331E28DF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Esto no es exacto, ya que fue a la hora que se vió apagado, por lo que puede que esta duración haya sido menor aún.
</t>
        </r>
      </text>
    </comment>
    <comment ref="B9" authorId="3" xr:uid="{5BC188A9-7734-CDFA-5E5C-04AFEC523C79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GPS: ON
Bluetooth: OFF
</t>
        </r>
      </text>
    </comment>
    <comment ref="B10" authorId="4" xr:uid="{2DC46168-A174-B54A-40D6-0F62CD9062BE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GPS: OFF
Bluetooth: 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tc={09D56106-0768-0620-F096-C8788256A593}</author>
    <author>tc={CF5B2ACF-561A-1DE4-B3F1-814FFF68FBC8}</author>
    <author>tc={58F1B934-F0EC-B8A6-F92F-6925362D7875}</author>
    <author>tc={323C15CB-F46B-052A-11E0-662EF2810C65}</author>
  </authors>
  <commentList>
    <comment ref="D3" authorId="0" xr:uid="{09D56106-0768-0620-F096-C8788256A593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Sujeto a cambios. Investigación DHL
</t>
        </r>
      </text>
    </comment>
    <comment ref="E3" authorId="1" xr:uid="{CF5B2ACF-561A-1DE4-B3F1-814FFF68FBC8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Sujeto a cambios. Investigación DHL
</t>
        </r>
      </text>
    </comment>
    <comment ref="G8" authorId="2" xr:uid="{58F1B934-F0EC-B8A6-F92F-6925362D7875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Cambio de Courier Fedex ==&gt; HK DHL
</t>
        </r>
      </text>
    </comment>
    <comment ref="A9" authorId="3" xr:uid="{323C15CB-F46B-052A-11E0-662EF2810C65}">
      <text>
        <r>
          <rPr>
            <b/>
            <sz val="9"/>
            <rFont val="Tahoma"/>
          </rPr>
          <t>pablovo-t470s:</t>
        </r>
        <r>
          <rPr>
            <sz val="9"/>
            <rFont val="Tahoma"/>
          </rPr>
          <t xml:space="preserve">
Compra conjunta al M6
</t>
        </r>
      </text>
    </comment>
  </commentList>
</comments>
</file>

<file path=xl/sharedStrings.xml><?xml version="1.0" encoding="utf-8"?>
<sst xmlns="http://schemas.openxmlformats.org/spreadsheetml/2006/main" count="106" uniqueCount="106">
  <si>
    <t>Mediciones</t>
  </si>
  <si>
    <t>Estadísticas</t>
  </si>
  <si>
    <t>Dispositivo</t>
  </si>
  <si>
    <t>Nombre</t>
  </si>
  <si>
    <t>Carga</t>
  </si>
  <si>
    <t>Descarga</t>
  </si>
  <si>
    <t>Duración</t>
  </si>
  <si>
    <t>Día</t>
  </si>
  <si>
    <t>Hora</t>
  </si>
  <si>
    <t>Espectativa</t>
  </si>
  <si>
    <t>Realidad</t>
  </si>
  <si>
    <t>N37</t>
  </si>
  <si>
    <t>nic2</t>
  </si>
  <si>
    <t xml:space="preserve">L1 Pro</t>
  </si>
  <si>
    <t xml:space="preserve"> </t>
  </si>
  <si>
    <t xml:space="preserve">WishMesh Tag</t>
  </si>
  <si>
    <t>pbm7</t>
  </si>
  <si>
    <t>M1</t>
  </si>
  <si>
    <t>pac1</t>
  </si>
  <si>
    <t>19hs</t>
  </si>
  <si>
    <t xml:space="preserve">M5 Pro</t>
  </si>
  <si>
    <t>tag7</t>
  </si>
  <si>
    <t>T-Deck</t>
  </si>
  <si>
    <t>8cb2</t>
  </si>
  <si>
    <t>T-Echo</t>
  </si>
  <si>
    <t>325d</t>
  </si>
  <si>
    <t>77d8</t>
  </si>
  <si>
    <t>ef7f</t>
  </si>
  <si>
    <t xml:space="preserve">Precio (U$D)</t>
  </si>
  <si>
    <t xml:space="preserve">Envío (U$D)</t>
  </si>
  <si>
    <t xml:space="preserve">Impuestos (AR$)</t>
  </si>
  <si>
    <t xml:space="preserve">Impuestos (U$D)</t>
  </si>
  <si>
    <t>Descuentos</t>
  </si>
  <si>
    <t>Reintegros</t>
  </si>
  <si>
    <t>Total</t>
  </si>
  <si>
    <t>Unidades</t>
  </si>
  <si>
    <t xml:space="preserve">Total unitario</t>
  </si>
  <si>
    <t xml:space="preserve">Precio unidad</t>
  </si>
  <si>
    <t>Diferencia</t>
  </si>
  <si>
    <t xml:space="preserve">Diferencia porcentual</t>
  </si>
  <si>
    <t xml:space="preserve">WisMesh Tag (AE)</t>
  </si>
  <si>
    <t xml:space="preserve">WisMesh Tag (RAK)</t>
  </si>
  <si>
    <t xml:space="preserve">SenseCAP Solar Node P1</t>
  </si>
  <si>
    <t xml:space="preserve">WioTracker L1 Pro</t>
  </si>
  <si>
    <t xml:space="preserve">Spec5 Voyager</t>
  </si>
  <si>
    <t xml:space="preserve">ThinkNode M1</t>
  </si>
  <si>
    <t xml:space="preserve">ThinkNode M5 Pro</t>
  </si>
  <si>
    <t xml:space="preserve">ThinkNode M6</t>
  </si>
  <si>
    <t>Marca</t>
  </si>
  <si>
    <t xml:space="preserve">N° de compra</t>
  </si>
  <si>
    <t>Fecha</t>
  </si>
  <si>
    <t>Suceso</t>
  </si>
  <si>
    <t>Elecrow</t>
  </si>
  <si>
    <t xml:space="preserve">Compra de 3M1 y 2M6 desde la página oficial de Elecrow. Se estima que llegue entre el 11/12/25 y el 16/12/25</t>
  </si>
  <si>
    <t xml:space="preserve">Reintegro de 37 U$D por cambio de courier (FedEx a HK-DHL)</t>
  </si>
  <si>
    <t xml:space="preserve">Despachó el paquete. Envío via HK-DHL y se estima que llegue entre 14/01/26 y el 17/01/26</t>
  </si>
  <si>
    <t xml:space="preserve">Ingreso a aduana + Pago de impuestos ($126.890,40)</t>
  </si>
  <si>
    <t xml:space="preserve">Paquete recibido.</t>
  </si>
  <si>
    <t xml:space="preserve">Compra de 3M1 desde la página oficial de Elecrow. Se estima que llegue entre el 15/12/25 y el 19/12/25</t>
  </si>
  <si>
    <t xml:space="preserve">Despachó el paquete. Envío via HK-DHL y se estima que llegue entre 14/12/25 y el 17/12/25</t>
  </si>
  <si>
    <t xml:space="preserve">Ingreso a aduana + Pago de impuestos ($44.915,97).</t>
  </si>
  <si>
    <t xml:space="preserve">Intento fallido de entrega, se deberá retirar en sucursal (Ayacucho 53 - Cba.)</t>
  </si>
  <si>
    <t xml:space="preserve"> Compra de 3 M5 Pro. Se estima que llegue entre el 13/01/26 y el 16/01/26. Envío vía DHL.</t>
  </si>
  <si>
    <t xml:space="preserve"> Despacho del paquete. Envío vía DHL. Se estima que llegue el 31/01/26</t>
  </si>
  <si>
    <t xml:space="preserve"> Ingreso a aduana + Pago de impuestos ($71.142,17)</t>
  </si>
  <si>
    <t>Heltec</t>
  </si>
  <si>
    <t xml:space="preserve">Compra de 2 pack (1 amarillo y 1 gris) MeshPocket Qi2 (6u.) desde la página oficial de Heltec. Se estima que llegue entre 11/12/25 y el 16/12/25.</t>
  </si>
  <si>
    <t xml:space="preserve">Compra cancelada desde Heltec, sin motivos.</t>
  </si>
  <si>
    <t xml:space="preserve">Reintegro por la cancelación de nuestra compra. Desición unilateral de la empresa Heltec.</t>
  </si>
  <si>
    <t xml:space="preserve">Compra de 2 pack (1 amarillo y 1 gris) de 3 MeshPocket Qi2 (6u.) desde la página oficial de Heltec. Sin fecha estimada de entrega.</t>
  </si>
  <si>
    <t xml:space="preserve">Compra cancelada desde Elecrow, por altos cargos de envío.</t>
  </si>
  <si>
    <t>LilyGo</t>
  </si>
  <si>
    <t xml:space="preserve">Compra de 3 T-Deck. </t>
  </si>
  <si>
    <t>Meshnology</t>
  </si>
  <si>
    <t xml:space="preserve">Compra de 1 pack N37 (2u.) por Amazon. Se estima que llegue el 23/12/25.  Se pagaron impuestos, cargos por importación e IVA total incluido. Vía Amazon priority shipping. </t>
  </si>
  <si>
    <t xml:space="preserve">Pedido cancelado porque no pudo completar el pago. No habrá reintegro, porque no se debitó el monto de la compra.</t>
  </si>
  <si>
    <t xml:space="preserve">Compra de 2 pack N37 (4u.) por Amazon. Se estima que llegue el 30/12/25. Se pagaron impuestos, cargos por importación e IVA total incluido, sin embargo no se pagó envío. Vía Amazon standar shipping.</t>
  </si>
  <si>
    <t xml:space="preserve">Paquete recibido. No se notificó cuándo entro al país, tampoco se pagaron impuestos posteriormente ya que los pagamos al momento de efectuar la compra en Amazon.</t>
  </si>
  <si>
    <t xml:space="preserve">Compra de 1 pack N37 (2u.), color rosa, por Amazon. Sin fecha estimada de llegada, vía Amazon global estandar.</t>
  </si>
  <si>
    <t xml:space="preserve">Compra cancelada. Dada la baja calidad del producto, se decidió dar de baja la compra. No hubo reintegro por la cancelación de la compra debido a que no se debitó el monto de la misma.</t>
  </si>
  <si>
    <t>RAK</t>
  </si>
  <si>
    <t xml:space="preserve">Compra de 3 WisMesh Tag desde AliExpress. Se estima que llegue el 26/12/25.</t>
  </si>
  <si>
    <t xml:space="preserve">Despacho del paquete. Envío vía DHL.</t>
  </si>
  <si>
    <t xml:space="preserve">Ingreso a aduana + Pago de impuestos ($47.394,49).</t>
  </si>
  <si>
    <t xml:space="preserve">Paquete recibido</t>
  </si>
  <si>
    <t xml:space="preserve">Compra de 3 WisMesh Tag desde RAK. Sin estimación de fecha de entrega</t>
  </si>
  <si>
    <t xml:space="preserve">Despacho del paquete. Envío vía DHL y se estima que llegue el 19/12/25.</t>
  </si>
  <si>
    <t xml:space="preserve">Ingreso a aduana + Pago de impuestos ($216.634,30).</t>
  </si>
  <si>
    <t xml:space="preserve">Paquete retirado.</t>
  </si>
  <si>
    <t xml:space="preserve">Solicitud de reintegro por cobro erróneo de impuestos aduaneros por parte de DHL.</t>
  </si>
  <si>
    <t xml:space="preserve">Reintegro por cobro erróneo de impuestos aduaneros por parte de DHL.</t>
  </si>
  <si>
    <t xml:space="preserve">Seed Studio</t>
  </si>
  <si>
    <t xml:space="preserve">Compra de 2 P1 a través de la página oficial de Seedstudio. Se estima que llegue entre 14/12/25 y el 18/12/25.</t>
  </si>
  <si>
    <t xml:space="preserve">Despacho del paquete. Envío vía FedEx.</t>
  </si>
  <si>
    <t xml:space="preserve">Entrega de paquete + pago de impuestos ($141.428,97)</t>
  </si>
  <si>
    <t xml:space="preserve">Compra de 3 Wio Tracker L1 Pro. Se estima que llegue entre 09/01/26 y el 14/01/26</t>
  </si>
  <si>
    <t xml:space="preserve">Despacho del paquete.</t>
  </si>
  <si>
    <t xml:space="preserve">Ingreso a Aduana + Pago de impuestos ($81.688,40)</t>
  </si>
  <si>
    <t>Spec5</t>
  </si>
  <si>
    <t xml:space="preserve">Compra de 1 Voyager. Se estima que llegue el 22/12/25 a los depósitos de AeroBox en EEUU.</t>
  </si>
  <si>
    <t xml:space="preserve">Despacho del paquete. Envío vía USPS.</t>
  </si>
  <si>
    <t xml:space="preserve">Arribo del paquete a los depósitos de Aerobox en Miami.</t>
  </si>
  <si>
    <t xml:space="preserve">Solicitud de envío del paquete desde Miami a Argentina.</t>
  </si>
  <si>
    <t xml:space="preserve">Despacho del paquete hacia Argentina. Se estima que llegue el 02/01/26.</t>
  </si>
  <si>
    <t xml:space="preserve">Arribo del paquete a Argentina.</t>
  </si>
  <si>
    <t xml:space="preserve">Pago a Aerobox ($137.659,50) + Envío vía Andreani.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</si>
</sst>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\$#,##0.00_);[Red](\$#,##0.00)"/>
    <numFmt numFmtId="166" formatCode="[$$-9]#,##0.00"/>
  </numFmts>
  <fonts count="6">
    <font>
      <sz val="11.000000"/>
      <color theme="1"/>
      <name val="Calibri"/>
      <scheme val="minor"/>
    </font>
    <font>
      <sz val="11.000000"/>
      <color theme="1"/>
      <name val="Hack Nerd Font"/>
    </font>
    <font>
      <b/>
      <sz val="11.000000"/>
      <color theme="1"/>
      <name val="Hack Nerd Font"/>
    </font>
    <font>
      <i/>
      <sz val="11.000000"/>
      <name val="Hack Nerd Font"/>
    </font>
    <font>
      <sz val="11.000000"/>
      <name val="Hack Nerd Font"/>
    </font>
    <font>
      <sz val="11.000000"/>
      <color rgb="FF434343"/>
      <name val="Hack Nerd Font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theme="3" tint="0.39997558519241921"/>
        <bgColor theme="3" tint="0.39997558519241921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3" tint="0.79998168889431442"/>
        <bgColor theme="3" tint="0.79998168889431442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1" tint="0"/>
        <bgColor theme="1" tint="0"/>
      </patternFill>
    </fill>
    <fill>
      <patternFill patternType="solid">
        <fgColor indexed="2"/>
        <bgColor indexed="2"/>
      </patternFill>
    </fill>
  </fills>
  <borders count="23">
    <border>
      <left style="none"/>
      <right style="none"/>
      <top style="none"/>
      <bottom style="none"/>
      <diagonal style="none"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 style="none"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none"/>
      <diagonal style="none"/>
    </border>
    <border>
      <left style="mediumDashDotDot">
        <color auto="1"/>
      </left>
      <right style="mediumDashDotDot">
        <color auto="1"/>
      </right>
      <top style="none"/>
      <bottom style="mediumDashDotDot">
        <color auto="1"/>
      </bottom>
      <diagonal style="none"/>
    </border>
    <border>
      <left style="mediumDashDotDot">
        <color theme="1"/>
      </left>
      <right style="mediumDashDotDot">
        <color theme="1"/>
      </right>
      <top style="mediumDashDotDot">
        <color theme="1"/>
      </top>
      <bottom style="mediumDashDotDot">
        <color theme="1"/>
      </bottom>
      <diagonal style="none"/>
    </border>
    <border>
      <left style="mediumDashDotDot">
        <color theme="1"/>
      </left>
      <right style="none"/>
      <top style="mediumDashDotDot">
        <color theme="1"/>
      </top>
      <bottom style="mediumDashDotDot">
        <color theme="1"/>
      </bottom>
      <diagonal style="none"/>
    </border>
    <border>
      <left style="mediumDashDotDot">
        <color theme="1"/>
      </left>
      <right style="mediumDashDotDot">
        <color theme="1"/>
      </right>
      <top style="mediumDashDotDot">
        <color theme="1"/>
      </top>
      <bottom style="none"/>
      <diagonal style="none"/>
    </border>
    <border>
      <left style="mediumDashDotDot">
        <color theme="1"/>
      </left>
      <right style="mediumDashDotDot">
        <color theme="1"/>
      </right>
      <top style="mediumDashDotDot">
        <color theme="1"/>
      </top>
      <bottom/>
      <diagonal/>
    </border>
    <border>
      <left style="mediumDashDotDot">
        <color theme="1"/>
      </left>
      <right style="none"/>
      <top style="mediumDashDotDot">
        <color theme="1"/>
      </top>
      <bottom style="none"/>
      <diagonal style="none"/>
    </border>
    <border>
      <left style="none"/>
      <right style="mediumDashDotDot">
        <color theme="1"/>
      </right>
      <top style="mediumDashDotDot">
        <color theme="1"/>
      </top>
      <bottom style="none"/>
      <diagonal style="none"/>
    </border>
    <border>
      <left style="mediumDashDotDot">
        <color theme="1"/>
      </left>
      <right style="mediumDashDotDot">
        <color theme="1"/>
      </right>
      <top/>
      <bottom/>
      <diagonal/>
    </border>
    <border>
      <left style="mediumDashDotDot">
        <color theme="1"/>
      </left>
      <right style="none"/>
      <top style="none"/>
      <bottom style="none"/>
      <diagonal style="none"/>
    </border>
    <border>
      <left style="none"/>
      <right style="mediumDashDotDot">
        <color theme="1"/>
      </right>
      <top style="none"/>
      <bottom style="none"/>
      <diagonal style="none"/>
    </border>
    <border>
      <left style="mediumDashDotDot">
        <color theme="1"/>
      </left>
      <right style="none"/>
      <top style="none"/>
      <bottom style="mediumDashDotDot">
        <color theme="1"/>
      </bottom>
      <diagonal style="none"/>
    </border>
    <border>
      <left style="none"/>
      <right style="mediumDashDotDot">
        <color theme="1"/>
      </right>
      <top style="none"/>
      <bottom style="mediumDashDotDot">
        <color theme="1"/>
      </bottom>
      <diagonal style="none"/>
    </border>
    <border>
      <left style="mediumDashDotDot">
        <color theme="1"/>
      </left>
      <right/>
      <top style="mediumDashDotDot">
        <color theme="1"/>
      </top>
      <bottom/>
      <diagonal/>
    </border>
    <border>
      <left style="mediumDashDotDot">
        <color theme="1"/>
      </left>
      <right/>
      <top/>
      <bottom/>
      <diagonal/>
    </border>
    <border>
      <left style="mediumDashDotDot">
        <color theme="1"/>
      </left>
      <right style="mediumDashDotDot">
        <color theme="1"/>
      </right>
      <top/>
      <bottom style="mediumDashDotDot">
        <color theme="1"/>
      </bottom>
      <diagonal/>
    </border>
    <border>
      <left style="mediumDashDotDot">
        <color theme="1"/>
      </left>
      <right/>
      <top/>
      <bottom style="mediumDashDotDot">
        <color theme="1"/>
      </bottom>
      <diagonal/>
    </border>
    <border>
      <left style="none"/>
      <right style="none"/>
      <top style="mediumDashDotDot">
        <color theme="1"/>
      </top>
      <bottom style="none"/>
      <diagonal style="none"/>
    </border>
    <border>
      <left style="mediumDashDotDot">
        <color theme="1"/>
      </left>
      <right style="mediumDashDotDot">
        <color theme="1"/>
      </right>
      <top style="none"/>
      <bottom style="none"/>
      <diagonal style="none"/>
    </border>
    <border>
      <left style="mediumDashDotDot">
        <color theme="1"/>
      </left>
      <right style="mediumDashDotDot">
        <color theme="1"/>
      </right>
      <top style="none"/>
      <bottom style="mediumDashDotDot">
        <color theme="1"/>
      </bottom>
      <diagonal style="none"/>
    </border>
    <border>
      <left style="none"/>
      <right style="none"/>
      <top style="none"/>
      <bottom style="mediumDashDotDot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67">
    <xf fontId="0" fillId="0" borderId="0" numFmtId="0" xfId="0"/>
    <xf fontId="1" fillId="0" borderId="0" numFmtId="0" xfId="0" applyFont="1" applyAlignment="1">
      <alignment horizontal="center" vertical="center"/>
    </xf>
    <xf fontId="2" fillId="3" borderId="1" numFmtId="0" xfId="0" applyFont="1" applyFill="1" applyBorder="1" applyAlignment="1">
      <alignment horizontal="center" vertical="center"/>
    </xf>
    <xf fontId="2" fillId="4" borderId="1" numFmtId="0" xfId="0" applyFont="1" applyFill="1" applyBorder="1" applyAlignment="1">
      <alignment horizontal="center" vertical="center"/>
    </xf>
    <xf fontId="1" fillId="5" borderId="1" numFmtId="0" xfId="0" applyFont="1" applyFill="1" applyBorder="1" applyAlignment="1">
      <alignment horizontal="center" vertical="center"/>
    </xf>
    <xf fontId="1" fillId="6" borderId="2" numFmtId="0" xfId="0" applyFont="1" applyFill="1" applyBorder="1" applyAlignment="1">
      <alignment horizontal="center" vertical="center"/>
    </xf>
    <xf fontId="1" fillId="7" borderId="1" numFmtId="0" xfId="0" applyFont="1" applyFill="1" applyBorder="1" applyAlignment="1">
      <alignment horizontal="center" vertical="center"/>
    </xf>
    <xf fontId="1" fillId="6" borderId="1" numFmtId="0" xfId="0" applyFont="1" applyFill="1" applyBorder="1" applyAlignment="1">
      <alignment horizontal="center" vertical="center"/>
    </xf>
    <xf fontId="1" fillId="6" borderId="3" numFmtId="0" xfId="0" applyFont="1" applyFill="1" applyBorder="1" applyAlignment="1">
      <alignment horizontal="center" vertical="center"/>
    </xf>
    <xf fontId="1" fillId="8" borderId="1" numFmtId="0" xfId="0" applyFont="1" applyFill="1" applyBorder="1" applyAlignment="1">
      <alignment horizontal="center" vertical="center"/>
    </xf>
    <xf fontId="1" fillId="0" borderId="0" numFmtId="164" xfId="0" applyNumberFormat="1" applyFont="1" applyAlignment="1">
      <alignment horizontal="center" vertical="center"/>
    </xf>
    <xf fontId="1" fillId="0" borderId="0" numFmtId="20" xfId="0" applyNumberFormat="1" applyFont="1" applyAlignment="1">
      <alignment horizontal="center" vertical="center"/>
    </xf>
    <xf fontId="1" fillId="0" borderId="1" numFmtId="0" xfId="0" applyFont="1" applyBorder="1" applyAlignment="1">
      <alignment horizontal="center" vertical="center"/>
    </xf>
    <xf fontId="2" fillId="0" borderId="0" numFmtId="0" xfId="0" applyFont="1" applyAlignment="1">
      <alignment horizontal="center" vertical="center"/>
    </xf>
    <xf fontId="2" fillId="9" borderId="4" numFmtId="0" xfId="0" applyFont="1" applyFill="1" applyBorder="1" applyAlignment="1">
      <alignment horizontal="center" vertical="center"/>
    </xf>
    <xf fontId="2" fillId="9" borderId="5" numFmtId="0" xfId="0" applyFont="1" applyFill="1" applyBorder="1" applyAlignment="1">
      <alignment horizontal="center" vertical="center"/>
    </xf>
    <xf fontId="3" fillId="8" borderId="4" numFmtId="0" xfId="0" applyFont="1" applyFill="1" applyBorder="1" applyAlignment="1">
      <alignment horizontal="center" vertical="center" wrapText="1"/>
    </xf>
    <xf fontId="4" fillId="0" borderId="4" numFmtId="165" xfId="0" applyNumberFormat="1" applyFont="1" applyBorder="1" applyAlignment="1">
      <alignment horizontal="center" vertical="center" wrapText="1"/>
    </xf>
    <xf fontId="4" fillId="0" borderId="4" numFmtId="165" xfId="0" applyNumberFormat="1" applyFont="1" applyBorder="1" applyAlignment="1">
      <alignment horizontal="center" vertical="center"/>
    </xf>
    <xf fontId="4" fillId="0" borderId="4" numFmtId="0" xfId="0" applyFont="1" applyBorder="1" applyAlignment="1">
      <alignment horizontal="center" vertical="center"/>
    </xf>
    <xf fontId="4" fillId="0" borderId="4" numFmtId="166" xfId="0" applyNumberFormat="1" applyFont="1" applyBorder="1" applyAlignment="1">
      <alignment horizontal="center" vertical="center"/>
    </xf>
    <xf fontId="4" fillId="0" borderId="5" numFmtId="166" xfId="0" applyNumberFormat="1" applyFont="1" applyBorder="1" applyAlignment="1">
      <alignment horizontal="center" vertical="center"/>
    </xf>
    <xf fontId="1" fillId="0" borderId="4" numFmtId="166" xfId="0" applyNumberFormat="1" applyFont="1" applyBorder="1" applyAlignment="1">
      <alignment horizontal="center" vertical="center"/>
    </xf>
    <xf fontId="1" fillId="0" borderId="4" numFmtId="2" xfId="0" applyNumberFormat="1" applyFont="1" applyBorder="1" applyAlignment="1">
      <alignment horizontal="center" vertical="center"/>
    </xf>
    <xf fontId="4" fillId="0" borderId="0" numFmtId="165" xfId="0" applyNumberFormat="1" applyFont="1" applyAlignment="1">
      <alignment horizontal="center" vertical="center" wrapText="1"/>
    </xf>
    <xf fontId="5" fillId="0" borderId="4" numFmtId="165" xfId="0" applyNumberFormat="1" applyFont="1" applyBorder="1" applyAlignment="1">
      <alignment horizontal="center" vertical="center"/>
    </xf>
    <xf fontId="4" fillId="10" borderId="4" numFmtId="165" xfId="0" applyNumberFormat="1" applyFont="1" applyFill="1" applyBorder="1" applyAlignment="1">
      <alignment horizontal="center" vertical="center" wrapText="1"/>
    </xf>
    <xf fontId="4" fillId="10" borderId="4" numFmtId="165" xfId="0" applyNumberFormat="1" applyFont="1" applyFill="1" applyBorder="1" applyAlignment="1">
      <alignment horizontal="center" vertical="center"/>
    </xf>
    <xf fontId="1" fillId="0" borderId="0" numFmtId="165" xfId="0" applyNumberFormat="1" applyFon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justify" vertical="center"/>
    </xf>
    <xf fontId="0" fillId="9" borderId="4" numFmtId="0" xfId="0" applyFill="1" applyBorder="1" applyAlignment="1">
      <alignment horizontal="center" vertical="center"/>
    </xf>
    <xf fontId="0" fillId="9" borderId="6" numFmtId="0" xfId="0" applyFill="1" applyBorder="1" applyAlignment="1">
      <alignment horizontal="center" vertical="center"/>
    </xf>
    <xf fontId="0" fillId="8" borderId="7" numFmtId="0" xfId="0" applyFill="1" applyBorder="1" applyAlignment="1">
      <alignment horizontal="center" vertical="center"/>
    </xf>
    <xf fontId="0" fillId="0" borderId="5" numFmtId="0" xfId="0" applyBorder="1" applyAlignment="1">
      <alignment horizontal="center" vertical="center"/>
    </xf>
    <xf fontId="0" fillId="0" borderId="8" numFmtId="164" xfId="0" applyNumberFormat="1" applyBorder="1" applyAlignment="1">
      <alignment horizontal="center" vertical="center"/>
    </xf>
    <xf fontId="0" fillId="0" borderId="9" numFmtId="0" xfId="0" applyBorder="1" applyAlignment="1">
      <alignment horizontal="justify" vertical="center"/>
    </xf>
    <xf fontId="0" fillId="8" borderId="10" numFmtId="0" xfId="0" applyFill="1" applyBorder="1" applyAlignment="1">
      <alignment horizontal="center" vertical="center"/>
    </xf>
    <xf fontId="0" fillId="0" borderId="11" numFmtId="164" xfId="0" applyNumberFormat="1" applyBorder="1" applyAlignment="1">
      <alignment horizontal="center" vertical="center"/>
    </xf>
    <xf fontId="0" fillId="0" borderId="12" numFmtId="0" xfId="0" applyBorder="1" applyAlignment="1">
      <alignment horizontal="justify" vertical="center"/>
    </xf>
    <xf fontId="0" fillId="0" borderId="13" numFmtId="164" xfId="0" applyNumberFormat="1" applyBorder="1" applyAlignment="1">
      <alignment horizontal="center" vertical="center"/>
    </xf>
    <xf fontId="0" fillId="0" borderId="14" numFmtId="0" xfId="0" applyBorder="1" applyAlignment="1">
      <alignment horizontal="justify" vertical="center"/>
    </xf>
    <xf fontId="0" fillId="0" borderId="12" numFmtId="0" xfId="0" applyBorder="1" applyAlignment="1">
      <alignment horizontal="justify" vertical="center"/>
    </xf>
    <xf fontId="0" fillId="0" borderId="15" numFmtId="0" xfId="0" applyBorder="1" applyAlignment="1">
      <alignment horizontal="center" vertical="center"/>
    </xf>
    <xf fontId="0" fillId="0" borderId="16" numFmtId="0" xfId="0" applyBorder="1" applyAlignment="1">
      <alignment horizontal="center" vertical="center"/>
    </xf>
    <xf fontId="0" fillId="8" borderId="17" numFmtId="0" xfId="0" applyFill="1" applyBorder="1" applyAlignment="1">
      <alignment horizontal="center" vertical="center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horizontal="justify" vertical="center"/>
    </xf>
    <xf fontId="0" fillId="8" borderId="4" numFmtId="0" xfId="0" applyFill="1" applyBorder="1" applyAlignment="1">
      <alignment horizontal="center" vertical="center"/>
    </xf>
    <xf fontId="0" fillId="8" borderId="4" numFmtId="0" xfId="0" applyFill="1" applyBorder="1" applyAlignment="1">
      <alignment horizontal="center" vertical="center"/>
    </xf>
    <xf fontId="0" fillId="11" borderId="13" numFmtId="0" xfId="0" applyFill="1" applyBorder="1" applyAlignment="1">
      <alignment horizontal="center" vertical="center"/>
    </xf>
    <xf fontId="0" fillId="0" borderId="9" numFmtId="0" xfId="0" applyBorder="1" applyAlignment="1">
      <alignment horizontal="justify" vertical="center"/>
    </xf>
    <xf fontId="0" fillId="11" borderId="13" numFmtId="164" xfId="0" applyNumberFormat="1" applyFill="1" applyBorder="1" applyAlignment="1">
      <alignment horizontal="center" vertical="center"/>
    </xf>
    <xf fontId="0" fillId="11" borderId="14" numFmtId="0" xfId="0" applyFill="1" applyBorder="1" applyAlignment="1">
      <alignment horizontal="justify" vertical="center"/>
    </xf>
    <xf fontId="0" fillId="0" borderId="8" numFmtId="0" xfId="0" applyBorder="1" applyAlignment="1">
      <alignment horizontal="center" vertical="center"/>
    </xf>
    <xf fontId="0" fillId="8" borderId="5" numFmtId="0" xfId="0" applyFill="1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19" numFmtId="164" xfId="0" applyNumberFormat="1" applyBorder="1" applyAlignment="1">
      <alignment horizontal="center" vertical="center"/>
    </xf>
    <xf fontId="0" fillId="0" borderId="20" numFmtId="0" xfId="0" applyBorder="1" applyAlignment="1">
      <alignment horizontal="center" vertical="center"/>
    </xf>
    <xf fontId="0" fillId="0" borderId="0" numFmtId="164" xfId="0" applyNumberFormat="1" applyAlignment="1">
      <alignment horizontal="center" vertical="center"/>
    </xf>
    <xf fontId="0" fillId="0" borderId="21" numFmtId="0" xfId="0" applyBorder="1" applyAlignment="1">
      <alignment horizontal="center" vertical="center"/>
    </xf>
    <xf fontId="0" fillId="11" borderId="22" numFmtId="0" xfId="0" applyFill="1" applyBorder="1" applyAlignment="1">
      <alignment horizontal="center" vertical="center"/>
    </xf>
    <xf fontId="0" fillId="8" borderId="6" numFmtId="0" xfId="0" applyFill="1" applyBorder="1" applyAlignment="1">
      <alignment horizontal="center" vertical="center"/>
    </xf>
    <xf fontId="0" fillId="8" borderId="20" numFmtId="0" xfId="0" applyFill="1" applyBorder="1" applyAlignment="1">
      <alignment horizontal="center" vertical="center"/>
    </xf>
    <xf fontId="0" fillId="0" borderId="12" numFmtId="0" xfId="0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14" numFmtId="0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ablovo-t470s" id="{308D8EBE-8AFA-4748-D239-3C68FDEA8D60}" userId="pablovo-t470s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6-01-14T15:51:35.02Z" personId="{308D8EBE-8AFA-4748-D239-3C68FDEA8D60}" id="{144BCBE1-AA2B-AF66-A192-8C39C2B2E6A9}" done="0">
    <text xml:space="preserve">GPS: OFF
Bluetooth: OFF
</text>
  </threadedComment>
  <threadedComment ref="B12" dT="2026-01-14T15:50:58.48Z" personId="{308D8EBE-8AFA-4748-D239-3C68FDEA8D60}" id="{F01FD7B1-2F45-0B14-9972-A7554400386F}" done="0">
    <text xml:space="preserve">GPS: ON
Bluetooth: ON
</text>
  </threadedComment>
  <threadedComment ref="G6" dT="2026-01-14T13:54:57.22Z" personId="{308D8EBE-8AFA-4748-D239-3C68FDEA8D60}" id="{354F0676-B10D-1EF9-4F8D-5B58331E28DF}" done="0">
    <text xml:space="preserve">Esto no es exacto, ya que fue a la hora que se vió apagado, por lo que puede que esta duración haya sido menor aún.
</text>
  </threadedComment>
  <threadedComment ref="B9" dT="2026-01-14T15:50:09.58Z" personId="{308D8EBE-8AFA-4748-D239-3C68FDEA8D60}" id="{5BC188A9-7734-CDFA-5E5C-04AFEC523C79}" done="0">
    <text xml:space="preserve">GPS: ON
Bluetooth: OFF
</text>
  </threadedComment>
  <threadedComment ref="B10" dT="2026-01-14T15:52:10.75Z" personId="{308D8EBE-8AFA-4748-D239-3C68FDEA8D60}" id="{2DC46168-A174-B54A-40D6-0F62CD9062BE}" done="0">
    <text xml:space="preserve">GPS: OFF
Bluetooth: ON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" dT="2026-01-16T15:32:19.54Z" personId="{308D8EBE-8AFA-4748-D239-3C68FDEA8D60}" id="{09D56106-0768-0620-F096-C8788256A593}" done="0">
    <text xml:space="preserve">Sujeto a cambios. Investigación DHL
</text>
  </threadedComment>
  <threadedComment ref="E3" dT="2026-01-16T15:32:36.28Z" personId="{308D8EBE-8AFA-4748-D239-3C68FDEA8D60}" id="{CF5B2ACF-561A-1DE4-B3F1-814FFF68FBC8}" done="0">
    <text xml:space="preserve">Sujeto a cambios. Investigación DHL
</text>
  </threadedComment>
  <threadedComment ref="G8" dT="2026-01-16T15:27:40.20Z" personId="{308D8EBE-8AFA-4748-D239-3C68FDEA8D60}" id="{58F1B934-F0EC-B8A6-F92F-6925362D7875}" done="0">
    <text xml:space="preserve">Cambio de Courier Fedex ==&gt; HK DHL
</text>
  </threadedComment>
  <threadedComment ref="A9" dT="2026-01-22T16:54:51.76Z" personId="{308D8EBE-8AFA-4748-D239-3C68FDEA8D60}" id="{323C15CB-F46B-052A-11E0-662EF2810C65}" done="0">
    <text xml:space="preserve">Compra conjunta al M6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9" defaultRowHeight="14.25"/>
  <cols>
    <col bestFit="1" min="1" max="1" style="1" width="15.40234375"/>
    <col bestFit="1" min="2" max="2" style="1" width="8.0625"/>
    <col bestFit="1" min="3" max="3" style="1" width="13.4140625"/>
    <col bestFit="1" min="4" max="4" style="1" width="6.83203125"/>
    <col customWidth="1" min="5" max="5" style="1" width="13.00390625"/>
    <col bestFit="1" min="6" max="6" style="1" width="5.61328125"/>
    <col bestFit="1" min="7" max="7" style="1" width="10.51171875"/>
    <col customWidth="1" min="8" max="8" style="1" width="4.7109375"/>
    <col bestFit="1" min="9" max="9" style="1" width="15.40234375"/>
    <col bestFit="1" min="10" max="10" style="1" width="14.18359375"/>
    <col customWidth="1" min="11" max="11" style="1" width="14.140625"/>
    <col min="12" max="16384" style="1" width="10.28125"/>
  </cols>
  <sheetData>
    <row r="1" ht="14.25">
      <c r="A1" s="2" t="s">
        <v>0</v>
      </c>
      <c r="B1" s="2"/>
      <c r="C1" s="2"/>
      <c r="D1" s="2"/>
      <c r="E1" s="2"/>
      <c r="F1" s="2"/>
      <c r="G1" s="2"/>
      <c r="H1" s="1"/>
      <c r="I1" s="3" t="s">
        <v>1</v>
      </c>
      <c r="J1" s="3"/>
      <c r="K1" s="3"/>
      <c r="L1" s="1"/>
      <c r="M1" s="1"/>
      <c r="N1" s="1"/>
      <c r="O1" s="1"/>
    </row>
    <row r="2">
      <c r="A2" s="4" t="s">
        <v>2</v>
      </c>
      <c r="B2" s="4" t="s">
        <v>3</v>
      </c>
      <c r="C2" s="4" t="s">
        <v>4</v>
      </c>
      <c r="D2" s="4"/>
      <c r="E2" s="4" t="s">
        <v>5</v>
      </c>
      <c r="F2" s="4"/>
      <c r="G2" s="5" t="s">
        <v>6</v>
      </c>
      <c r="H2" s="1"/>
      <c r="I2" s="6" t="s">
        <v>2</v>
      </c>
      <c r="J2" s="6" t="s">
        <v>6</v>
      </c>
      <c r="K2" s="6"/>
      <c r="L2" s="1"/>
      <c r="M2" s="1"/>
      <c r="N2" s="1"/>
      <c r="O2" s="1"/>
    </row>
    <row r="3">
      <c r="A3" s="4"/>
      <c r="B3" s="4"/>
      <c r="C3" s="7" t="s">
        <v>7</v>
      </c>
      <c r="D3" s="7" t="s">
        <v>8</v>
      </c>
      <c r="E3" s="7" t="s">
        <v>7</v>
      </c>
      <c r="F3" s="7" t="s">
        <v>8</v>
      </c>
      <c r="G3" s="8"/>
      <c r="H3" s="1"/>
      <c r="I3" s="6"/>
      <c r="J3" s="9" t="s">
        <v>9</v>
      </c>
      <c r="K3" s="9" t="s">
        <v>10</v>
      </c>
      <c r="L3" s="1"/>
      <c r="M3" s="1"/>
      <c r="N3" s="1"/>
      <c r="O3" s="1"/>
    </row>
    <row r="4" ht="14.25">
      <c r="A4" s="1" t="s">
        <v>11</v>
      </c>
      <c r="B4" s="1" t="s">
        <v>12</v>
      </c>
      <c r="C4" s="10">
        <v>46034</v>
      </c>
      <c r="D4" s="11">
        <v>0.57291666666666663</v>
      </c>
      <c r="G4" s="1"/>
      <c r="I4" s="12" t="s">
        <v>13</v>
      </c>
      <c r="J4" s="12"/>
      <c r="K4" s="12" t="s">
        <v>14</v>
      </c>
      <c r="L4" s="1"/>
    </row>
    <row r="5" ht="14.25">
      <c r="A5" s="1" t="s">
        <v>15</v>
      </c>
      <c r="B5" s="1" t="s">
        <v>16</v>
      </c>
      <c r="C5" s="10">
        <v>46034</v>
      </c>
      <c r="D5" s="11">
        <v>0.60416666666666663</v>
      </c>
      <c r="G5" s="1"/>
      <c r="I5" s="12" t="s">
        <v>17</v>
      </c>
      <c r="J5" s="12">
        <v>48</v>
      </c>
      <c r="K5" s="12"/>
      <c r="L5" s="1"/>
    </row>
    <row r="6" ht="14.25">
      <c r="A6" s="1" t="s">
        <v>17</v>
      </c>
      <c r="B6" s="1" t="s">
        <v>18</v>
      </c>
      <c r="C6" s="10">
        <v>46035</v>
      </c>
      <c r="D6" s="11">
        <v>0.4375</v>
      </c>
      <c r="E6" s="10">
        <v>46036</v>
      </c>
      <c r="F6" s="11">
        <v>0.33333333333333331</v>
      </c>
      <c r="G6" s="1" t="s">
        <v>19</v>
      </c>
      <c r="I6" s="12" t="s">
        <v>20</v>
      </c>
      <c r="J6" s="12"/>
      <c r="K6" s="12"/>
      <c r="L6" s="1"/>
    </row>
    <row r="7" ht="14.25">
      <c r="A7" s="1" t="s">
        <v>15</v>
      </c>
      <c r="B7" s="1" t="s">
        <v>21</v>
      </c>
      <c r="C7" s="10">
        <v>46035</v>
      </c>
      <c r="D7" s="11">
        <v>0.54166666666666663</v>
      </c>
      <c r="E7" s="1"/>
      <c r="F7" s="1"/>
      <c r="G7" s="1"/>
      <c r="H7" s="1"/>
      <c r="I7" s="12" t="s">
        <v>11</v>
      </c>
      <c r="J7" s="12"/>
      <c r="K7" s="12"/>
      <c r="L7" s="1"/>
    </row>
    <row r="8" ht="14.25">
      <c r="A8" s="1" t="s">
        <v>17</v>
      </c>
      <c r="B8" s="1" t="s">
        <v>18</v>
      </c>
      <c r="C8" s="10">
        <v>46036</v>
      </c>
      <c r="D8" s="11">
        <v>0.59375</v>
      </c>
      <c r="G8" s="1"/>
      <c r="I8" s="12" t="s">
        <v>22</v>
      </c>
      <c r="J8" s="12"/>
      <c r="K8" s="12"/>
      <c r="L8" s="1"/>
    </row>
    <row r="9" ht="14.25">
      <c r="A9" s="1" t="s">
        <v>17</v>
      </c>
      <c r="B9" s="1" t="s">
        <v>23</v>
      </c>
      <c r="C9" s="10">
        <v>46036</v>
      </c>
      <c r="D9" s="11">
        <v>0.54166666666666663</v>
      </c>
      <c r="G9" s="1"/>
      <c r="I9" s="12" t="s">
        <v>24</v>
      </c>
      <c r="J9" s="12"/>
      <c r="K9" s="12"/>
      <c r="L9" s="1"/>
    </row>
    <row r="10" ht="14.25">
      <c r="A10" s="1" t="s">
        <v>17</v>
      </c>
      <c r="B10" s="1" t="s">
        <v>25</v>
      </c>
      <c r="C10" s="10">
        <v>46036</v>
      </c>
      <c r="D10" s="11">
        <v>0.54166666666666663</v>
      </c>
      <c r="G10" s="1"/>
      <c r="I10" s="12" t="s">
        <v>15</v>
      </c>
      <c r="J10" s="12"/>
      <c r="K10" s="12"/>
      <c r="L10" s="1"/>
    </row>
    <row r="11" ht="14.25">
      <c r="A11" s="1" t="s">
        <v>17</v>
      </c>
      <c r="B11" s="1" t="s">
        <v>26</v>
      </c>
      <c r="C11" s="10">
        <v>46036</v>
      </c>
      <c r="D11" s="11">
        <v>0.54166666666666663</v>
      </c>
      <c r="G11" s="1"/>
      <c r="I11" s="1"/>
      <c r="J11" s="1"/>
      <c r="K11" s="1"/>
      <c r="L11" s="1"/>
    </row>
    <row r="12" ht="14.25">
      <c r="A12" s="1" t="s">
        <v>17</v>
      </c>
      <c r="B12" s="1" t="s">
        <v>27</v>
      </c>
      <c r="C12" s="10">
        <v>46036</v>
      </c>
      <c r="D12" s="11">
        <v>0.54166666666666663</v>
      </c>
    </row>
    <row r="13" ht="14.25">
      <c r="E13" s="1"/>
      <c r="F13" s="1"/>
      <c r="G13" s="1"/>
      <c r="H13" s="1"/>
    </row>
    <row r="14" ht="14.25">
      <c r="I14" s="1"/>
      <c r="J14" s="1"/>
    </row>
    <row r="15" ht="14.25">
      <c r="I15" s="1"/>
      <c r="J15" s="1"/>
    </row>
    <row r="16" ht="14.25">
      <c r="I16" s="1"/>
      <c r="J16" s="1"/>
    </row>
    <row r="17" ht="14.25">
      <c r="I17" s="1"/>
      <c r="J17" s="1"/>
    </row>
    <row r="18" ht="14.25">
      <c r="J18" s="1"/>
    </row>
    <row r="19" ht="14.25">
      <c r="J19" s="1"/>
    </row>
    <row r="20" ht="14.25">
      <c r="J20" s="1"/>
    </row>
  </sheetData>
  <sortState ref="I4:K10" columnSort="0">
    <sortCondition sortBy="value" descending="0" ref="I4:I10"/>
  </sortState>
  <mergeCells count="9">
    <mergeCell ref="A1:G1"/>
    <mergeCell ref="I1:K1"/>
    <mergeCell ref="A2:A3"/>
    <mergeCell ref="B2:B3"/>
    <mergeCell ref="C2:D2"/>
    <mergeCell ref="E2:F2"/>
    <mergeCell ref="G2:G3"/>
    <mergeCell ref="I2:I3"/>
    <mergeCell ref="J2:K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D90054-0099-4578-82F5-002100740002}" type="list" allowBlank="1" errorStyle="stop" imeMode="noControl" operator="between" showDropDown="0" showErrorMessage="1" showInputMessage="1">
          <x14:formula1>
            <xm:f>$I$4:$I$10</xm:f>
          </x14:formula1>
          <xm:sqref>A1:A3 A101:A1048576 A2:A3 A1:G1 A1:G1</xm:sqref>
        </x14:dataValidation>
        <x14:dataValidation xr:uid="{008300D6-0007-4FE0-A026-0015006D0049}" type="list" allowBlank="0" errorStyle="stop" imeMode="noControl" operator="between" promptTitle="" showDropDown="0" showErrorMessage="1" showInputMessage="1">
          <x14:formula1>
            <xm:f>$I$4:$I$10</xm:f>
          </x14:formula1>
          <xm:sqref>A4:A100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1" zoomScale="100" workbookViewId="0">
      <selection activeCell="A1" activeCellId="0" sqref="A1"/>
    </sheetView>
  </sheetViews>
  <sheetFormatPr defaultRowHeight="14.25"/>
  <cols>
    <col customWidth="1" min="1" max="1" style="1" width="27.57421875"/>
    <col bestFit="1" min="2" max="2" style="1" width="15.40234375"/>
    <col bestFit="1" min="3" max="3" style="1" width="14.68359375"/>
    <col bestFit="1" min="4" max="5" style="1" width="19.76171875"/>
    <col bestFit="1" min="6" max="8" style="1" width="12.953125"/>
    <col bestFit="1" min="9" max="9" style="1" width="10.87109375"/>
    <col bestFit="1" min="10" max="10" style="1" width="18.4921875"/>
    <col bestFit="1" min="11" max="11" style="1" width="17.22265625"/>
    <col bestFit="1" min="12" max="12" style="1" width="13.4140625"/>
    <col bestFit="1" min="13" max="13" style="1" width="27.3828125"/>
    <col min="14" max="16384" style="1" width="10.28125"/>
  </cols>
  <sheetData>
    <row r="1" s="13" customFormat="1">
      <c r="A1" s="14" t="s">
        <v>2</v>
      </c>
      <c r="B1" s="14" t="s">
        <v>28</v>
      </c>
      <c r="C1" s="14" t="s">
        <v>29</v>
      </c>
      <c r="D1" s="14" t="s">
        <v>30</v>
      </c>
      <c r="E1" s="14" t="s">
        <v>31</v>
      </c>
      <c r="F1" s="14" t="s">
        <v>32</v>
      </c>
      <c r="G1" s="14" t="s">
        <v>33</v>
      </c>
      <c r="H1" s="14" t="s">
        <v>34</v>
      </c>
      <c r="I1" s="14" t="s">
        <v>35</v>
      </c>
      <c r="J1" s="14" t="s">
        <v>36</v>
      </c>
      <c r="K1" s="15" t="s">
        <v>37</v>
      </c>
      <c r="L1" s="14" t="s">
        <v>38</v>
      </c>
      <c r="M1" s="14" t="s">
        <v>39</v>
      </c>
    </row>
    <row r="2">
      <c r="A2" s="16" t="s">
        <v>40</v>
      </c>
      <c r="B2" s="17">
        <v>155.03999999999999</v>
      </c>
      <c r="C2" s="18">
        <v>38.039999999999999</v>
      </c>
      <c r="D2" s="17">
        <v>47394.489999999998</v>
      </c>
      <c r="E2" s="17">
        <f t="shared" ref="E2:E9" si="0">D2/1505</f>
        <v>31.491355481727574</v>
      </c>
      <c r="F2" s="17">
        <v>0</v>
      </c>
      <c r="G2" s="17">
        <v>0</v>
      </c>
      <c r="H2" s="18">
        <f t="shared" ref="H2:H9" si="1">B2+C2+E2-F2-G2</f>
        <v>224.57135548172755</v>
      </c>
      <c r="I2" s="19">
        <v>3</v>
      </c>
      <c r="J2" s="20">
        <f t="shared" ref="J2:J9" si="2">H2/I2</f>
        <v>74.857118493909184</v>
      </c>
      <c r="K2" s="21">
        <v>39</v>
      </c>
      <c r="L2" s="22">
        <f t="shared" ref="L2:L9" si="3">K2-J2</f>
        <v>-35.857118493909184</v>
      </c>
      <c r="M2" s="23">
        <f>(J2*100)/K2</f>
        <v>191.941329471562</v>
      </c>
    </row>
    <row r="3">
      <c r="A3" s="16" t="s">
        <v>41</v>
      </c>
      <c r="B3" s="17">
        <v>117</v>
      </c>
      <c r="C3" s="18">
        <v>50.030000000000001</v>
      </c>
      <c r="D3" s="17">
        <v>216634.29999999999</v>
      </c>
      <c r="E3" s="17">
        <f t="shared" si="0"/>
        <v>143.94305647840531</v>
      </c>
      <c r="F3" s="17">
        <v>0</v>
      </c>
      <c r="G3" s="17">
        <v>0</v>
      </c>
      <c r="H3" s="18">
        <f t="shared" si="1"/>
        <v>310.97305647840528</v>
      </c>
      <c r="I3" s="19">
        <v>3</v>
      </c>
      <c r="J3" s="20">
        <f t="shared" si="2"/>
        <v>103.65768549280176</v>
      </c>
      <c r="K3" s="21">
        <v>39</v>
      </c>
      <c r="L3" s="22">
        <f t="shared" si="3"/>
        <v>-64.657685492801761</v>
      </c>
      <c r="M3" s="23">
        <f t="shared" ref="M3:M9" si="4">J3*100/K3</f>
        <v>265.78893716103016</v>
      </c>
    </row>
    <row r="4">
      <c r="A4" s="16" t="s">
        <v>11</v>
      </c>
      <c r="B4" s="17">
        <v>199.97999999999999</v>
      </c>
      <c r="C4" s="18">
        <v>0</v>
      </c>
      <c r="D4" s="18">
        <v>47.32</v>
      </c>
      <c r="E4" s="17">
        <f t="shared" si="0"/>
        <v>0.031441860465116281</v>
      </c>
      <c r="F4" s="17">
        <v>0</v>
      </c>
      <c r="G4" s="17">
        <v>0</v>
      </c>
      <c r="H4" s="18">
        <f t="shared" si="1"/>
        <v>200.01144186046511</v>
      </c>
      <c r="I4" s="19">
        <v>4</v>
      </c>
      <c r="J4" s="20">
        <f t="shared" si="2"/>
        <v>50.002860465116278</v>
      </c>
      <c r="K4" s="21">
        <v>49.990000000000002</v>
      </c>
      <c r="L4" s="22">
        <f t="shared" si="3"/>
        <v>-0.012860465116276032</v>
      </c>
      <c r="M4" s="23">
        <f t="shared" si="4"/>
        <v>100.02572607544765</v>
      </c>
    </row>
    <row r="5" ht="28.5">
      <c r="A5" s="16" t="s">
        <v>42</v>
      </c>
      <c r="B5" s="17">
        <v>139.80000000000001</v>
      </c>
      <c r="C5" s="18">
        <v>124.48999999999999</v>
      </c>
      <c r="D5" s="17">
        <v>141428.97</v>
      </c>
      <c r="E5" s="17">
        <f t="shared" si="0"/>
        <v>93.972737541528247</v>
      </c>
      <c r="F5" s="17">
        <v>7</v>
      </c>
      <c r="G5" s="17">
        <v>0</v>
      </c>
      <c r="H5" s="18">
        <f t="shared" si="1"/>
        <v>351.26273754152828</v>
      </c>
      <c r="I5" s="19">
        <v>2</v>
      </c>
      <c r="J5" s="20">
        <f t="shared" si="2"/>
        <v>175.63136877076414</v>
      </c>
      <c r="K5" s="21">
        <v>69.900000000000006</v>
      </c>
      <c r="L5" s="22">
        <f t="shared" si="3"/>
        <v>-105.73136877076413</v>
      </c>
      <c r="M5" s="23">
        <f t="shared" si="4"/>
        <v>251.26089952899014</v>
      </c>
    </row>
    <row r="6">
      <c r="A6" s="16" t="s">
        <v>43</v>
      </c>
      <c r="B6" s="17">
        <v>128.69999999999999</v>
      </c>
      <c r="C6" s="17">
        <v>58.969999999999999</v>
      </c>
      <c r="D6" s="17">
        <v>81688.399999999994</v>
      </c>
      <c r="E6" s="17">
        <f t="shared" si="0"/>
        <v>54.278006644518271</v>
      </c>
      <c r="F6" s="17">
        <v>10.4</v>
      </c>
      <c r="G6" s="17">
        <v>0</v>
      </c>
      <c r="H6" s="18">
        <f t="shared" si="1"/>
        <v>231.54800664451827</v>
      </c>
      <c r="I6" s="19">
        <v>3</v>
      </c>
      <c r="J6" s="20">
        <f t="shared" si="2"/>
        <v>77.182668881506089</v>
      </c>
      <c r="K6" s="21">
        <v>42.899999999999999</v>
      </c>
      <c r="L6" s="22">
        <f t="shared" si="3"/>
        <v>-34.28266888150609</v>
      </c>
      <c r="M6" s="23">
        <f t="shared" si="4"/>
        <v>179.91298107577177</v>
      </c>
    </row>
    <row r="7">
      <c r="A7" s="16" t="s">
        <v>44</v>
      </c>
      <c r="B7" s="17">
        <v>219.99000000000001</v>
      </c>
      <c r="C7" s="17">
        <v>35.509999999999998</v>
      </c>
      <c r="D7" s="17">
        <v>98410.949999999997</v>
      </c>
      <c r="E7" s="17">
        <f t="shared" si="0"/>
        <v>65.389335548172753</v>
      </c>
      <c r="F7" s="17">
        <v>0</v>
      </c>
      <c r="G7" s="17">
        <v>0</v>
      </c>
      <c r="H7" s="18">
        <f t="shared" si="1"/>
        <v>320.88933554817277</v>
      </c>
      <c r="I7" s="19">
        <v>1</v>
      </c>
      <c r="J7" s="20">
        <f t="shared" si="2"/>
        <v>320.88933554817277</v>
      </c>
      <c r="K7" s="21">
        <v>219.99000000000001</v>
      </c>
      <c r="L7" s="22">
        <f t="shared" si="3"/>
        <v>-100.89933554817276</v>
      </c>
      <c r="M7" s="23">
        <f t="shared" si="4"/>
        <v>145.86541913185724</v>
      </c>
    </row>
    <row r="8">
      <c r="A8" s="16" t="s">
        <v>45</v>
      </c>
      <c r="B8" s="17">
        <v>145.53</v>
      </c>
      <c r="C8" s="18">
        <v>69.290000000000006</v>
      </c>
      <c r="D8" s="17">
        <v>44915.970000000001</v>
      </c>
      <c r="E8" s="17">
        <f t="shared" si="0"/>
        <v>29.844498338870434</v>
      </c>
      <c r="F8" s="24">
        <v>0</v>
      </c>
      <c r="G8" s="17">
        <v>37</v>
      </c>
      <c r="H8" s="18">
        <f t="shared" si="1"/>
        <v>207.66449833887043</v>
      </c>
      <c r="I8" s="19">
        <v>3</v>
      </c>
      <c r="J8" s="20">
        <f t="shared" si="2"/>
        <v>69.221499446290139</v>
      </c>
      <c r="K8" s="21">
        <v>53.899999999999999</v>
      </c>
      <c r="L8" s="22">
        <f t="shared" si="3"/>
        <v>-15.32149944629014</v>
      </c>
      <c r="M8" s="23">
        <f t="shared" si="4"/>
        <v>128.42578746992604</v>
      </c>
    </row>
    <row r="9">
      <c r="A9" s="16" t="s">
        <v>45</v>
      </c>
      <c r="B9" s="17">
        <v>145.53</v>
      </c>
      <c r="C9" s="17">
        <v>44.049999999999997</v>
      </c>
      <c r="D9" s="17">
        <v>126890.39999999999</v>
      </c>
      <c r="E9" s="17">
        <f t="shared" si="0"/>
        <v>84.312558139534886</v>
      </c>
      <c r="F9" s="17">
        <v>5</v>
      </c>
      <c r="G9" s="17">
        <v>0</v>
      </c>
      <c r="H9" s="18">
        <f t="shared" si="1"/>
        <v>268.89255813953486</v>
      </c>
      <c r="I9" s="19">
        <v>3</v>
      </c>
      <c r="J9" s="20">
        <f t="shared" si="2"/>
        <v>89.630852713178285</v>
      </c>
      <c r="K9" s="21">
        <v>53.899999999999999</v>
      </c>
      <c r="L9" s="22">
        <f t="shared" si="3"/>
        <v>-35.730852713178287</v>
      </c>
      <c r="M9" s="23">
        <f t="shared" si="4"/>
        <v>166.29100688901352</v>
      </c>
    </row>
    <row r="10">
      <c r="A10" s="16" t="s">
        <v>46</v>
      </c>
      <c r="B10" s="17">
        <v>145.53</v>
      </c>
      <c r="C10" s="17">
        <v>78.620000000000005</v>
      </c>
      <c r="D10" s="25">
        <v>71142.169999999998</v>
      </c>
      <c r="E10" s="17">
        <f t="shared" ref="E10:E11" si="5">D10/1505</f>
        <v>47.270544850498339</v>
      </c>
      <c r="F10" s="17">
        <v>0</v>
      </c>
      <c r="G10" s="17">
        <v>0</v>
      </c>
      <c r="H10" s="18">
        <f t="shared" ref="H10:H12" si="6">B10+C10+E10-F10-G10</f>
        <v>271.42054485049835</v>
      </c>
      <c r="I10" s="19">
        <v>3</v>
      </c>
      <c r="J10" s="20">
        <f>H10/I10</f>
        <v>90.47351495016612</v>
      </c>
      <c r="K10" s="21">
        <v>53.899999999999999</v>
      </c>
      <c r="L10" s="22">
        <f t="shared" ref="L10:L12" si="7">K10-J10</f>
        <v>-36.573514950166121</v>
      </c>
      <c r="M10" s="23">
        <f t="shared" ref="M10:M12" si="8">J10*100/K10</f>
        <v>167.85438766264588</v>
      </c>
    </row>
    <row r="11">
      <c r="A11" s="16" t="s">
        <v>47</v>
      </c>
      <c r="B11" s="17">
        <v>159.80000000000001</v>
      </c>
      <c r="C11" s="26"/>
      <c r="D11" s="27"/>
      <c r="E11" s="26">
        <f t="shared" si="5"/>
        <v>0</v>
      </c>
      <c r="F11" s="26"/>
      <c r="G11" s="26"/>
      <c r="H11" s="18">
        <f t="shared" si="6"/>
        <v>159.80000000000001</v>
      </c>
      <c r="I11" s="19">
        <v>2</v>
      </c>
      <c r="J11" s="20"/>
      <c r="K11" s="21">
        <v>73.900000000000006</v>
      </c>
      <c r="L11" s="22">
        <f t="shared" si="7"/>
        <v>73.900000000000006</v>
      </c>
      <c r="M11" s="23">
        <f t="shared" si="8"/>
        <v>0</v>
      </c>
    </row>
    <row r="12">
      <c r="A12" s="16" t="s">
        <v>22</v>
      </c>
      <c r="B12" s="17">
        <v>212.97</v>
      </c>
      <c r="C12" s="17">
        <v>95</v>
      </c>
      <c r="D12" s="18"/>
      <c r="E12" s="17"/>
      <c r="F12" s="17">
        <v>0</v>
      </c>
      <c r="G12" s="17">
        <v>0</v>
      </c>
      <c r="H12" s="18">
        <f t="shared" si="6"/>
        <v>307.97000000000003</v>
      </c>
      <c r="I12" s="19">
        <v>3</v>
      </c>
      <c r="J12" s="20">
        <f>H12/I12</f>
        <v>102.65666666666668</v>
      </c>
      <c r="K12" s="21">
        <v>77.159999999999997</v>
      </c>
      <c r="L12" s="22">
        <f t="shared" si="7"/>
        <v>-25.496666666666684</v>
      </c>
      <c r="M12" s="23">
        <f t="shared" si="8"/>
        <v>133.0438914809055</v>
      </c>
    </row>
    <row r="13">
      <c r="A13" s="1"/>
      <c r="G13" s="1"/>
      <c r="H13" s="28">
        <f>SUM(H2:H12)</f>
        <v>2855.0035348837209</v>
      </c>
      <c r="I13" s="1">
        <f>SUM(I2:I12)</f>
        <v>30</v>
      </c>
    </row>
    <row r="14">
      <c r="A14" s="1"/>
    </row>
    <row r="15">
      <c r="A15" s="1"/>
    </row>
    <row r="16">
      <c r="A16" s="1"/>
    </row>
    <row r="17">
      <c r="A17" s="1"/>
    </row>
    <row r="18">
      <c r="A18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A1" activeCellId="0" sqref="A1"/>
    </sheetView>
  </sheetViews>
  <sheetFormatPr defaultRowHeight="14.25"/>
  <cols>
    <col bestFit="1" min="1" max="1" style="29" width="11.2421875"/>
    <col bestFit="1" min="2" max="2" style="29" width="12.47265625"/>
    <col bestFit="1" min="3" max="3" style="29" width="10.83203125"/>
    <col bestFit="1" min="4" max="4" style="30" width="95.8125"/>
    <col min="5" max="16384" style="29" width="9.140625"/>
  </cols>
  <sheetData>
    <row r="1" ht="14.25">
      <c r="A1" s="31" t="s">
        <v>48</v>
      </c>
      <c r="B1" s="31" t="s">
        <v>49</v>
      </c>
      <c r="C1" s="32" t="s">
        <v>50</v>
      </c>
      <c r="D1" s="32" t="s">
        <v>51</v>
      </c>
    </row>
    <row r="2" ht="14.25">
      <c r="A2" s="33" t="s">
        <v>52</v>
      </c>
      <c r="B2" s="34">
        <v>1</v>
      </c>
      <c r="C2" s="35">
        <v>45995</v>
      </c>
      <c r="D2" s="36" t="s">
        <v>53</v>
      </c>
    </row>
    <row r="3" ht="14.25">
      <c r="A3" s="37"/>
      <c r="B3" s="34"/>
      <c r="C3" s="38">
        <v>46002</v>
      </c>
      <c r="D3" s="39" t="s">
        <v>54</v>
      </c>
    </row>
    <row r="4" ht="14.25">
      <c r="A4" s="37"/>
      <c r="B4" s="34"/>
      <c r="C4" s="38">
        <v>46024</v>
      </c>
      <c r="D4" s="39" t="s">
        <v>55</v>
      </c>
    </row>
    <row r="5" ht="14.25">
      <c r="A5" s="37"/>
      <c r="B5" s="34"/>
      <c r="C5" s="38">
        <v>46028</v>
      </c>
      <c r="D5" s="39" t="s">
        <v>56</v>
      </c>
    </row>
    <row r="6" ht="14.25">
      <c r="A6" s="37"/>
      <c r="B6" s="34"/>
      <c r="C6" s="40">
        <v>46030</v>
      </c>
      <c r="D6" s="41" t="s">
        <v>57</v>
      </c>
    </row>
    <row r="7" ht="14.25">
      <c r="A7" s="37"/>
      <c r="B7" s="34">
        <v>2</v>
      </c>
      <c r="C7" s="35">
        <v>45999</v>
      </c>
      <c r="D7" s="36" t="s">
        <v>58</v>
      </c>
    </row>
    <row r="8" ht="14.25">
      <c r="A8" s="37"/>
      <c r="B8" s="34"/>
      <c r="C8" s="38">
        <v>46002</v>
      </c>
      <c r="D8" s="39" t="s">
        <v>59</v>
      </c>
    </row>
    <row r="9" ht="14.25">
      <c r="A9" s="37"/>
      <c r="B9" s="34"/>
      <c r="C9" s="38">
        <v>46007</v>
      </c>
      <c r="D9" s="39" t="s">
        <v>60</v>
      </c>
    </row>
    <row r="10" ht="14.25">
      <c r="A10" s="37"/>
      <c r="B10" s="34"/>
      <c r="C10" s="38">
        <v>46013</v>
      </c>
      <c r="D10" s="39" t="s">
        <v>61</v>
      </c>
    </row>
    <row r="11" ht="14.25">
      <c r="A11" s="37"/>
      <c r="B11" s="34"/>
      <c r="C11" s="38">
        <v>46020</v>
      </c>
      <c r="D11" s="42" t="s">
        <v>57</v>
      </c>
    </row>
    <row r="12" ht="14.25">
      <c r="A12" s="37"/>
      <c r="B12" s="43">
        <v>3</v>
      </c>
      <c r="C12" s="35">
        <v>46031</v>
      </c>
      <c r="D12" s="36" t="s">
        <v>62</v>
      </c>
    </row>
    <row r="13" ht="14.25">
      <c r="A13" s="37"/>
      <c r="B13" s="44"/>
      <c r="C13" s="38">
        <v>46035</v>
      </c>
      <c r="D13" s="39" t="s">
        <v>63</v>
      </c>
    </row>
    <row r="14" ht="14.25">
      <c r="A14" s="37"/>
      <c r="B14" s="44"/>
      <c r="C14" s="38">
        <v>46038</v>
      </c>
      <c r="D14" s="39" t="s">
        <v>64</v>
      </c>
    </row>
    <row r="15" ht="14.25">
      <c r="A15" s="45"/>
      <c r="B15" s="46"/>
      <c r="C15" s="40">
        <v>46043</v>
      </c>
      <c r="D15" s="47" t="s">
        <v>57</v>
      </c>
    </row>
    <row r="16" ht="28.5">
      <c r="A16" s="48" t="s">
        <v>65</v>
      </c>
      <c r="B16" s="34">
        <v>1</v>
      </c>
      <c r="C16" s="38">
        <v>45995</v>
      </c>
      <c r="D16" s="42" t="s">
        <v>66</v>
      </c>
    </row>
    <row r="17" ht="14.25">
      <c r="A17" s="49"/>
      <c r="B17" s="34"/>
      <c r="C17" s="38">
        <v>46020</v>
      </c>
      <c r="D17" s="42" t="s">
        <v>67</v>
      </c>
    </row>
    <row r="18" ht="14.25">
      <c r="A18" s="49"/>
      <c r="B18" s="34"/>
      <c r="C18" s="50" t="s">
        <v>14</v>
      </c>
      <c r="D18" s="47" t="s">
        <v>68</v>
      </c>
    </row>
    <row r="19" ht="28.5">
      <c r="A19" s="49"/>
      <c r="B19" s="34">
        <v>2</v>
      </c>
      <c r="C19" s="35">
        <v>46021</v>
      </c>
      <c r="D19" s="51" t="s">
        <v>69</v>
      </c>
    </row>
    <row r="20" ht="14.25">
      <c r="A20" s="49"/>
      <c r="B20" s="34"/>
      <c r="C20" s="38">
        <v>46031</v>
      </c>
      <c r="D20" s="42" t="s">
        <v>70</v>
      </c>
    </row>
    <row r="21" ht="14.25">
      <c r="A21" s="49"/>
      <c r="B21" s="34"/>
      <c r="C21" s="38">
        <v>46042</v>
      </c>
      <c r="D21" s="42" t="s">
        <v>68</v>
      </c>
    </row>
    <row r="22" ht="14.25">
      <c r="A22" s="33" t="s">
        <v>71</v>
      </c>
      <c r="B22" s="43">
        <v>1</v>
      </c>
      <c r="C22" s="35">
        <v>46031</v>
      </c>
      <c r="D22" s="36" t="s">
        <v>72</v>
      </c>
    </row>
    <row r="23" ht="14.25">
      <c r="A23" s="45"/>
      <c r="B23" s="46"/>
      <c r="C23" s="52"/>
      <c r="D23" s="53"/>
    </row>
    <row r="24" ht="28.5">
      <c r="A24" s="48" t="s">
        <v>73</v>
      </c>
      <c r="B24" s="34">
        <v>1</v>
      </c>
      <c r="C24" s="38">
        <v>45995</v>
      </c>
      <c r="D24" s="42" t="s">
        <v>74</v>
      </c>
    </row>
    <row r="25" ht="28.5">
      <c r="A25" s="48"/>
      <c r="B25" s="34"/>
      <c r="C25" s="40">
        <v>46017</v>
      </c>
      <c r="D25" s="47" t="s">
        <v>75</v>
      </c>
    </row>
    <row r="26" ht="28.5">
      <c r="A26" s="48"/>
      <c r="B26" s="34">
        <v>2</v>
      </c>
      <c r="C26" s="35">
        <v>45995</v>
      </c>
      <c r="D26" s="36" t="s">
        <v>76</v>
      </c>
    </row>
    <row r="27" ht="28.5">
      <c r="A27" s="48"/>
      <c r="B27" s="34"/>
      <c r="C27" s="40">
        <v>46020</v>
      </c>
      <c r="D27" s="47" t="s">
        <v>77</v>
      </c>
    </row>
    <row r="28" ht="14.25">
      <c r="A28" s="48"/>
      <c r="B28" s="34">
        <v>3</v>
      </c>
      <c r="C28" s="35">
        <v>46021</v>
      </c>
      <c r="D28" s="51" t="s">
        <v>78</v>
      </c>
    </row>
    <row r="29" ht="28.5">
      <c r="A29" s="48"/>
      <c r="B29" s="34"/>
      <c r="C29" s="38">
        <v>46029</v>
      </c>
      <c r="D29" s="42" t="s">
        <v>79</v>
      </c>
    </row>
    <row r="30" ht="14.25">
      <c r="A30" s="48" t="s">
        <v>80</v>
      </c>
      <c r="B30" s="34">
        <v>1</v>
      </c>
      <c r="C30" s="35">
        <v>45995</v>
      </c>
      <c r="D30" s="36" t="s">
        <v>81</v>
      </c>
    </row>
    <row r="31" ht="14.25">
      <c r="A31" s="49"/>
      <c r="B31" s="34"/>
      <c r="C31" s="38">
        <v>46002</v>
      </c>
      <c r="D31" s="39" t="s">
        <v>82</v>
      </c>
    </row>
    <row r="32" ht="14.25">
      <c r="A32" s="49"/>
      <c r="B32" s="34"/>
      <c r="C32" s="38">
        <v>46006</v>
      </c>
      <c r="D32" s="39" t="s">
        <v>83</v>
      </c>
    </row>
    <row r="33" ht="14.25">
      <c r="A33" s="49"/>
      <c r="B33" s="54"/>
      <c r="C33" s="38">
        <v>46013</v>
      </c>
      <c r="D33" s="39" t="s">
        <v>84</v>
      </c>
    </row>
    <row r="34" ht="14.25">
      <c r="A34" s="55"/>
      <c r="B34" s="56">
        <v>2</v>
      </c>
      <c r="C34" s="57">
        <v>45999</v>
      </c>
      <c r="D34" s="36" t="s">
        <v>85</v>
      </c>
    </row>
    <row r="35" ht="14.25">
      <c r="A35" s="55"/>
      <c r="B35" s="58"/>
      <c r="C35" s="59">
        <v>46004</v>
      </c>
      <c r="D35" s="39" t="s">
        <v>86</v>
      </c>
    </row>
    <row r="36" ht="14.25">
      <c r="A36" s="55"/>
      <c r="B36" s="58"/>
      <c r="C36" s="59">
        <v>46009</v>
      </c>
      <c r="D36" s="39" t="s">
        <v>87</v>
      </c>
    </row>
    <row r="37" ht="14.25">
      <c r="A37" s="55"/>
      <c r="B37" s="58"/>
      <c r="C37" s="59">
        <v>46013</v>
      </c>
      <c r="D37" s="39" t="s">
        <v>61</v>
      </c>
    </row>
    <row r="38" ht="14.25">
      <c r="A38" s="55"/>
      <c r="B38" s="58"/>
      <c r="C38" s="59">
        <v>46020</v>
      </c>
      <c r="D38" s="42" t="s">
        <v>88</v>
      </c>
    </row>
    <row r="39" ht="14.25">
      <c r="A39" s="55"/>
      <c r="B39" s="58"/>
      <c r="C39" s="59">
        <v>46038</v>
      </c>
      <c r="D39" s="42" t="s">
        <v>89</v>
      </c>
    </row>
    <row r="40" ht="14.25">
      <c r="A40" s="55"/>
      <c r="B40" s="60"/>
      <c r="C40" s="61"/>
      <c r="D40" s="47" t="s">
        <v>90</v>
      </c>
    </row>
    <row r="41" ht="14.25">
      <c r="A41" s="62" t="s">
        <v>91</v>
      </c>
      <c r="B41" s="56">
        <v>1</v>
      </c>
      <c r="C41" s="35">
        <v>46001</v>
      </c>
      <c r="D41" s="51" t="s">
        <v>92</v>
      </c>
    </row>
    <row r="42" ht="14.25">
      <c r="A42" s="63"/>
      <c r="B42" s="58"/>
      <c r="C42" s="38">
        <v>46002</v>
      </c>
      <c r="D42" s="39" t="s">
        <v>93</v>
      </c>
    </row>
    <row r="43" ht="14.25">
      <c r="A43" s="63"/>
      <c r="B43" s="60"/>
      <c r="C43" s="40">
        <v>46017</v>
      </c>
      <c r="D43" s="41" t="s">
        <v>94</v>
      </c>
    </row>
    <row r="44" ht="14.25">
      <c r="A44" s="63"/>
      <c r="B44" s="64">
        <v>2</v>
      </c>
      <c r="C44" s="35">
        <v>46029</v>
      </c>
      <c r="D44" s="36" t="s">
        <v>95</v>
      </c>
    </row>
    <row r="45" ht="14.25">
      <c r="A45" s="63"/>
      <c r="B45" s="64"/>
      <c r="C45" s="38">
        <v>46030</v>
      </c>
      <c r="D45" s="39" t="s">
        <v>96</v>
      </c>
    </row>
    <row r="46" ht="14.25">
      <c r="A46" s="63"/>
      <c r="B46" s="64"/>
      <c r="C46" s="38">
        <v>46034</v>
      </c>
      <c r="D46" s="39" t="s">
        <v>97</v>
      </c>
    </row>
    <row r="47" ht="14.25">
      <c r="A47" s="65"/>
      <c r="B47" s="66"/>
      <c r="C47" s="40">
        <v>46372</v>
      </c>
      <c r="D47" s="47" t="s">
        <v>57</v>
      </c>
    </row>
    <row r="48" ht="14.25">
      <c r="A48" s="62" t="s">
        <v>98</v>
      </c>
      <c r="B48" s="56">
        <v>1</v>
      </c>
      <c r="C48" s="35">
        <v>46001</v>
      </c>
      <c r="D48" s="36" t="s">
        <v>99</v>
      </c>
    </row>
    <row r="49" ht="14.25">
      <c r="A49" s="63"/>
      <c r="B49" s="58"/>
      <c r="C49" s="38">
        <v>46009</v>
      </c>
      <c r="D49" s="42" t="s">
        <v>100</v>
      </c>
    </row>
    <row r="50" ht="14.25">
      <c r="A50" s="63"/>
      <c r="B50" s="58"/>
      <c r="C50" s="38">
        <v>46013</v>
      </c>
      <c r="D50" s="39" t="s">
        <v>101</v>
      </c>
    </row>
    <row r="51" ht="14.25">
      <c r="A51" s="63"/>
      <c r="B51" s="58"/>
      <c r="C51" s="38">
        <v>46015</v>
      </c>
      <c r="D51" s="42" t="s">
        <v>102</v>
      </c>
    </row>
    <row r="52" ht="14.25">
      <c r="A52" s="63"/>
      <c r="B52" s="58"/>
      <c r="C52" s="38">
        <v>46017</v>
      </c>
      <c r="D52" s="39" t="s">
        <v>103</v>
      </c>
    </row>
    <row r="53" ht="14.25">
      <c r="A53" s="63"/>
      <c r="B53" s="58"/>
      <c r="C53" s="38">
        <v>46022</v>
      </c>
      <c r="D53" s="39" t="s">
        <v>104</v>
      </c>
    </row>
    <row r="54" ht="14.25">
      <c r="A54" s="63"/>
      <c r="B54" s="58"/>
      <c r="C54" s="38">
        <v>46027</v>
      </c>
      <c r="D54" s="39" t="s">
        <v>105</v>
      </c>
    </row>
    <row r="55" ht="14.25">
      <c r="A55" s="65"/>
      <c r="B55" s="60"/>
      <c r="C55" s="40">
        <v>46034</v>
      </c>
      <c r="D55" s="47" t="s">
        <v>57</v>
      </c>
    </row>
  </sheetData>
  <mergeCells count="21">
    <mergeCell ref="A2:A15"/>
    <mergeCell ref="B2:B6"/>
    <mergeCell ref="B7:B11"/>
    <mergeCell ref="B12:B15"/>
    <mergeCell ref="A16:A21"/>
    <mergeCell ref="B16:B18"/>
    <mergeCell ref="B19:B21"/>
    <mergeCell ref="A22:A23"/>
    <mergeCell ref="B22:B23"/>
    <mergeCell ref="A24:A29"/>
    <mergeCell ref="B24:B25"/>
    <mergeCell ref="B26:B27"/>
    <mergeCell ref="B28:B29"/>
    <mergeCell ref="A30:A40"/>
    <mergeCell ref="B30:B33"/>
    <mergeCell ref="B34:B40"/>
    <mergeCell ref="A41:A47"/>
    <mergeCell ref="B41:B43"/>
    <mergeCell ref="B44:B47"/>
    <mergeCell ref="A48:A55"/>
    <mergeCell ref="B48:B55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2026-01-22T16:59:06Z</dcterms:modified>
</cp:coreProperties>
</file>