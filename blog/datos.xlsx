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threadedComments/threadedComment2.xml" ContentType="application/vnd.ms-excel.threadedcomment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persons/person.xml" ContentType="application/vnd.ms-excel.perso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Batería" sheetId="1" state="visible" r:id="rId3"/>
    <sheet name="Costos" sheetId="2" state="visible" r:id="rId4"/>
  </sheets>
  <calcPr/>
  <extLst>
    <ext xmlns:x15="http://schemas.microsoft.com/office/spreadsheetml/2010/11/main" uri="{D0CA8CA8-9F24-4464-BF8E-62219DCF47F9}"/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tc={144BCBE1-AA2B-AF66-A192-8C39C2B2E6A9}</author>
    <author>tc={F01FD7B1-2F45-0B14-9972-A7554400386F}</author>
    <author>tc={354F0676-B10D-1EF9-4F8D-5B58331E28DF}</author>
    <author>tc={5BC188A9-7734-CDFA-5E5C-04AFEC523C79}</author>
    <author>tc={2DC46168-A174-B54A-40D6-0F62CD9062BE}</author>
  </authors>
  <commentList>
    <comment ref="B11" authorId="0" xr:uid="{144BCBE1-AA2B-AF66-A192-8C39C2B2E6A9}">
      <text>
        <r>
          <rPr>
            <b/>
            <sz val="9"/>
            <rFont val="Tahoma"/>
          </rPr>
          <t>pablovo-t470s:</t>
        </r>
        <r>
          <rPr>
            <sz val="9"/>
            <rFont val="Tahoma"/>
          </rPr>
          <t xml:space="preserve">
GPS: OFF
Bluetooth: OFF
</t>
        </r>
      </text>
    </comment>
    <comment ref="B12" authorId="1" xr:uid="{F01FD7B1-2F45-0B14-9972-A7554400386F}">
      <text>
        <r>
          <rPr>
            <b/>
            <sz val="9"/>
            <rFont val="Tahoma"/>
          </rPr>
          <t>pablovo-t470s:</t>
        </r>
        <r>
          <rPr>
            <sz val="9"/>
            <rFont val="Tahoma"/>
          </rPr>
          <t xml:space="preserve">
GPS: ON
Bluetooth: ON
</t>
        </r>
      </text>
    </comment>
    <comment ref="G6" authorId="2" xr:uid="{354F0676-B10D-1EF9-4F8D-5B58331E28DF}">
      <text>
        <r>
          <rPr>
            <b/>
            <sz val="9"/>
            <rFont val="Tahoma"/>
          </rPr>
          <t>pablovo-t470s:</t>
        </r>
        <r>
          <rPr>
            <sz val="9"/>
            <rFont val="Tahoma"/>
          </rPr>
          <t xml:space="preserve">
Esto no es exacto, ya que fue a la hora que se vió apagado, por lo que puede que esta duración haya sido menor aún.
</t>
        </r>
      </text>
    </comment>
    <comment ref="B9" authorId="3" xr:uid="{5BC188A9-7734-CDFA-5E5C-04AFEC523C79}">
      <text>
        <r>
          <rPr>
            <b/>
            <sz val="9"/>
            <rFont val="Tahoma"/>
          </rPr>
          <t>pablovo-t470s:</t>
        </r>
        <r>
          <rPr>
            <sz val="9"/>
            <rFont val="Tahoma"/>
          </rPr>
          <t xml:space="preserve">
GPS: ON
Bluetooth: OFF
</t>
        </r>
      </text>
    </comment>
    <comment ref="B10" authorId="4" xr:uid="{2DC46168-A174-B54A-40D6-0F62CD9062BE}">
      <text>
        <r>
          <rPr>
            <b/>
            <sz val="9"/>
            <rFont val="Tahoma"/>
          </rPr>
          <t>pablovo-t470s:</t>
        </r>
        <r>
          <rPr>
            <sz val="9"/>
            <rFont val="Tahoma"/>
          </rPr>
          <t xml:space="preserve">
GPS: OFF
Bluetooth: ON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tc={09D56106-0768-0620-F096-C8788256A593}</author>
    <author>tc={CF5B2ACF-561A-1DE4-B3F1-814FFF68FBC8}</author>
    <author>tc={58F1B934-F0EC-B8A6-F92F-6925362D7875}</author>
  </authors>
  <commentList>
    <comment ref="D3" authorId="0" xr:uid="{09D56106-0768-0620-F096-C8788256A593}">
      <text>
        <r>
          <rPr>
            <b/>
            <sz val="9"/>
            <rFont val="Tahoma"/>
          </rPr>
          <t>pablovo-t470s:</t>
        </r>
        <r>
          <rPr>
            <sz val="9"/>
            <rFont val="Tahoma"/>
          </rPr>
          <t xml:space="preserve">
Sujeto a cambios. Investigación DHL
</t>
        </r>
      </text>
    </comment>
    <comment ref="E3" authorId="1" xr:uid="{CF5B2ACF-561A-1DE4-B3F1-814FFF68FBC8}">
      <text>
        <r>
          <rPr>
            <b/>
            <sz val="9"/>
            <rFont val="Tahoma"/>
          </rPr>
          <t>pablovo-t470s:</t>
        </r>
        <r>
          <rPr>
            <sz val="9"/>
            <rFont val="Tahoma"/>
          </rPr>
          <t xml:space="preserve">
Sujeto a cambios. Investigación DHL
</t>
        </r>
      </text>
    </comment>
    <comment ref="G8" authorId="2" xr:uid="{58F1B934-F0EC-B8A6-F92F-6925362D7875}">
      <text>
        <r>
          <rPr>
            <b/>
            <sz val="9"/>
            <rFont val="Tahoma"/>
          </rPr>
          <t>pablovo-t470s:</t>
        </r>
        <r>
          <rPr>
            <sz val="9"/>
            <rFont val="Tahoma"/>
          </rPr>
          <t xml:space="preserve">
Cambio de Courier Fedex ==&gt; HK DHL
</t>
        </r>
      </text>
    </comment>
  </commentList>
</comments>
</file>

<file path=xl/sharedStrings.xml><?xml version="1.0" encoding="utf-8"?>
<sst xmlns="http://schemas.openxmlformats.org/spreadsheetml/2006/main" count="48" uniqueCount="48">
  <si>
    <t>Mediciones</t>
  </si>
  <si>
    <t>Estadísticas</t>
  </si>
  <si>
    <t>Dispositivo</t>
  </si>
  <si>
    <t>Nombre</t>
  </si>
  <si>
    <t>Carga</t>
  </si>
  <si>
    <t>Descarga</t>
  </si>
  <si>
    <t>Duración</t>
  </si>
  <si>
    <t>Día</t>
  </si>
  <si>
    <t>Hora</t>
  </si>
  <si>
    <t>Espectativa</t>
  </si>
  <si>
    <t>Realidad</t>
  </si>
  <si>
    <t>N37</t>
  </si>
  <si>
    <t>nic2</t>
  </si>
  <si>
    <t xml:space="preserve">L1 Pro</t>
  </si>
  <si>
    <t xml:space="preserve"> </t>
  </si>
  <si>
    <t xml:space="preserve">WishMesh Tag</t>
  </si>
  <si>
    <t>pbm7</t>
  </si>
  <si>
    <t>M1</t>
  </si>
  <si>
    <t>pac1</t>
  </si>
  <si>
    <t>19hs</t>
  </si>
  <si>
    <t xml:space="preserve">M5 Pro</t>
  </si>
  <si>
    <t>tag7</t>
  </si>
  <si>
    <t>T-Deck</t>
  </si>
  <si>
    <t>8cb2</t>
  </si>
  <si>
    <t>T-Echo</t>
  </si>
  <si>
    <t>325d</t>
  </si>
  <si>
    <t>77d8</t>
  </si>
  <si>
    <t>ef7f</t>
  </si>
  <si>
    <t xml:space="preserve">Precio (U$D)</t>
  </si>
  <si>
    <t xml:space="preserve">Envío (U$D)</t>
  </si>
  <si>
    <t xml:space="preserve">Impuestos (AR$)</t>
  </si>
  <si>
    <t xml:space="preserve">Impuestos (U$D)</t>
  </si>
  <si>
    <t>Descuentos</t>
  </si>
  <si>
    <t>Reintegros</t>
  </si>
  <si>
    <t>Total</t>
  </si>
  <si>
    <t>Unidades</t>
  </si>
  <si>
    <t xml:space="preserve">Total unitario</t>
  </si>
  <si>
    <t xml:space="preserve">Precio unidad</t>
  </si>
  <si>
    <t>Diferencia</t>
  </si>
  <si>
    <t xml:space="preserve">Diferencia porcentual</t>
  </si>
  <si>
    <t xml:space="preserve">WisMesh Tag (AE)</t>
  </si>
  <si>
    <t xml:space="preserve">WisMesh Tag (RAK)</t>
  </si>
  <si>
    <t xml:space="preserve">SenseCAP Solar Node P1</t>
  </si>
  <si>
    <t xml:space="preserve">WioTracker L1 Pro</t>
  </si>
  <si>
    <t xml:space="preserve">Spec5 Voyager</t>
  </si>
  <si>
    <t xml:space="preserve">ThinkNode M1</t>
  </si>
  <si>
    <t xml:space="preserve">ThinkNode M5 Pro</t>
  </si>
  <si>
    <t xml:space="preserve">ThinkNode M6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</si>
</sst>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\$#,##0.00_);[Red](\$#,##0.00)"/>
    <numFmt numFmtId="166" formatCode="[$$-9]#,##0.00"/>
  </numFmts>
  <fonts count="6">
    <font>
      <sz val="11.000000"/>
      <color theme="1"/>
      <name val="Calibri"/>
      <scheme val="minor"/>
    </font>
    <font>
      <sz val="11.000000"/>
      <color theme="1"/>
      <name val="Hack Nerd Font"/>
    </font>
    <font>
      <b/>
      <sz val="11.000000"/>
      <color theme="1"/>
      <name val="Hack Nerd Font"/>
    </font>
    <font>
      <i/>
      <sz val="11.000000"/>
      <name val="Hack Nerd Font"/>
    </font>
    <font>
      <sz val="11.000000"/>
      <name val="Hack Nerd Font"/>
    </font>
    <font>
      <sz val="11.000000"/>
      <color rgb="FF434343"/>
      <name val="Hack Nerd Font"/>
    </font>
  </fonts>
  <fills count="11">
    <fill>
      <patternFill patternType="none"/>
    </fill>
    <fill>
      <patternFill patternType="gray125"/>
    </fill>
    <fill>
      <patternFill patternType="none"/>
    </fill>
    <fill>
      <patternFill patternType="solid">
        <fgColor theme="3" tint="0.39997558519241921"/>
        <bgColor theme="3" tint="0.39997558519241921"/>
      </patternFill>
    </fill>
    <fill>
      <patternFill patternType="solid">
        <fgColor theme="8" tint="-0.249977111117893"/>
        <bgColor theme="8" tint="-0.249977111117893"/>
      </patternFill>
    </fill>
    <fill>
      <patternFill patternType="solid">
        <fgColor theme="3" tint="0.59999389629810485"/>
        <bgColor theme="3" tint="0.59999389629810485"/>
      </patternFill>
    </fill>
    <fill>
      <patternFill patternType="solid">
        <fgColor theme="3" tint="0.79998168889431442"/>
        <bgColor theme="3" tint="0.79998168889431442"/>
      </patternFill>
    </fill>
    <fill>
      <patternFill patternType="solid">
        <fgColor theme="8" tint="0.39997558519241921"/>
        <bgColor theme="8" tint="0.39997558519241921"/>
      </patternFill>
    </fill>
    <fill>
      <patternFill patternType="solid">
        <fgColor theme="8" tint="0.59999389629810485"/>
        <bgColor theme="8" tint="0.59999389629810485"/>
      </patternFill>
    </fill>
    <fill>
      <patternFill patternType="solid">
        <fgColor theme="7" tint="0.39997558519241921"/>
        <bgColor theme="7" tint="0.39997558519241921"/>
      </patternFill>
    </fill>
    <fill>
      <patternFill patternType="solid">
        <fgColor theme="1" tint="0"/>
        <bgColor theme="1" tint="0"/>
      </patternFill>
    </fill>
  </fills>
  <borders count="6">
    <border>
      <left style="none"/>
      <right style="none"/>
      <top style="none"/>
      <bottom style="none"/>
      <diagonal style="none"/>
    </border>
    <border>
      <left style="mediumDashDotDot">
        <color auto="1"/>
      </left>
      <right style="mediumDashDotDot">
        <color auto="1"/>
      </right>
      <top style="mediumDashDotDot">
        <color auto="1"/>
      </top>
      <bottom style="mediumDashDotDot">
        <color auto="1"/>
      </bottom>
      <diagonal style="none"/>
    </border>
    <border>
      <left style="mediumDashDotDot">
        <color auto="1"/>
      </left>
      <right style="mediumDashDotDot">
        <color auto="1"/>
      </right>
      <top style="mediumDashDotDot">
        <color auto="1"/>
      </top>
      <bottom style="none"/>
      <diagonal style="none"/>
    </border>
    <border>
      <left style="mediumDashDotDot">
        <color auto="1"/>
      </left>
      <right style="mediumDashDotDot">
        <color auto="1"/>
      </right>
      <top style="none"/>
      <bottom style="mediumDashDotDot">
        <color auto="1"/>
      </bottom>
      <diagonal style="none"/>
    </border>
    <border>
      <left style="mediumDashDotDot">
        <color theme="1"/>
      </left>
      <right style="mediumDashDotDot">
        <color theme="1"/>
      </right>
      <top style="mediumDashDotDot">
        <color theme="1"/>
      </top>
      <bottom style="mediumDashDotDot">
        <color theme="1"/>
      </bottom>
      <diagonal style="none"/>
    </border>
    <border>
      <left style="mediumDashDotDot">
        <color theme="1"/>
      </left>
      <right style="none"/>
      <top style="mediumDashDotDot">
        <color theme="1"/>
      </top>
      <bottom style="mediumDashDotDot">
        <color theme="1"/>
      </bottom>
      <diagonal style="none"/>
    </border>
  </borders>
  <cellStyleXfs count="2">
    <xf fontId="0" fillId="0" borderId="0" numFmtId="0" applyNumberFormat="1" applyFont="1" applyFill="1" applyBorder="1"/>
    <xf fontId="0" fillId="2" borderId="0" numFmtId="9" applyNumberFormat="1" applyFont="0" applyFill="0" applyBorder="0"/>
  </cellStyleXfs>
  <cellXfs count="29">
    <xf fontId="0" fillId="0" borderId="0" numFmtId="0" xfId="0"/>
    <xf fontId="1" fillId="0" borderId="0" numFmtId="0" xfId="0" applyFont="1" applyAlignment="1">
      <alignment horizontal="center" vertical="center"/>
    </xf>
    <xf fontId="2" fillId="3" borderId="1" numFmtId="0" xfId="0" applyFont="1" applyFill="1" applyBorder="1" applyAlignment="1">
      <alignment horizontal="center" vertical="center"/>
    </xf>
    <xf fontId="2" fillId="4" borderId="1" numFmtId="0" xfId="0" applyFont="1" applyFill="1" applyBorder="1" applyAlignment="1">
      <alignment horizontal="center" vertical="center"/>
    </xf>
    <xf fontId="1" fillId="5" borderId="1" numFmtId="0" xfId="0" applyFont="1" applyFill="1" applyBorder="1" applyAlignment="1">
      <alignment horizontal="center" vertical="center"/>
    </xf>
    <xf fontId="1" fillId="6" borderId="2" numFmtId="0" xfId="0" applyFont="1" applyFill="1" applyBorder="1" applyAlignment="1">
      <alignment horizontal="center" vertical="center"/>
    </xf>
    <xf fontId="1" fillId="7" borderId="1" numFmtId="0" xfId="0" applyFont="1" applyFill="1" applyBorder="1" applyAlignment="1">
      <alignment horizontal="center" vertical="center"/>
    </xf>
    <xf fontId="1" fillId="6" borderId="1" numFmtId="0" xfId="0" applyFont="1" applyFill="1" applyBorder="1" applyAlignment="1">
      <alignment horizontal="center" vertical="center"/>
    </xf>
    <xf fontId="1" fillId="6" borderId="3" numFmtId="0" xfId="0" applyFont="1" applyFill="1" applyBorder="1" applyAlignment="1">
      <alignment horizontal="center" vertical="center"/>
    </xf>
    <xf fontId="1" fillId="8" borderId="1" numFmtId="0" xfId="0" applyFont="1" applyFill="1" applyBorder="1" applyAlignment="1">
      <alignment horizontal="center" vertical="center"/>
    </xf>
    <xf fontId="1" fillId="0" borderId="0" numFmtId="164" xfId="0" applyNumberFormat="1" applyFont="1" applyAlignment="1">
      <alignment horizontal="center" vertical="center"/>
    </xf>
    <xf fontId="1" fillId="0" borderId="0" numFmtId="20" xfId="0" applyNumberFormat="1" applyFont="1" applyAlignment="1">
      <alignment horizontal="center" vertical="center"/>
    </xf>
    <xf fontId="1" fillId="0" borderId="1" numFmtId="0" xfId="0" applyFont="1" applyBorder="1" applyAlignment="1">
      <alignment horizontal="center" vertical="center"/>
    </xf>
    <xf fontId="2" fillId="0" borderId="0" numFmtId="0" xfId="0" applyFont="1" applyAlignment="1">
      <alignment horizontal="center" vertical="center"/>
    </xf>
    <xf fontId="2" fillId="9" borderId="4" numFmtId="0" xfId="0" applyFont="1" applyFill="1" applyBorder="1" applyAlignment="1">
      <alignment horizontal="center" vertical="center"/>
    </xf>
    <xf fontId="2" fillId="9" borderId="5" numFmtId="0" xfId="0" applyFont="1" applyFill="1" applyBorder="1" applyAlignment="1">
      <alignment horizontal="center" vertical="center"/>
    </xf>
    <xf fontId="3" fillId="8" borderId="4" numFmtId="0" xfId="0" applyFont="1" applyFill="1" applyBorder="1" applyAlignment="1">
      <alignment horizontal="center" vertical="center" wrapText="1"/>
    </xf>
    <xf fontId="4" fillId="0" borderId="4" numFmtId="165" xfId="0" applyNumberFormat="1" applyFont="1" applyBorder="1" applyAlignment="1">
      <alignment horizontal="center" vertical="center" wrapText="1"/>
    </xf>
    <xf fontId="4" fillId="0" borderId="4" numFmtId="165" xfId="0" applyNumberFormat="1" applyFont="1" applyBorder="1" applyAlignment="1">
      <alignment horizontal="center" vertical="center"/>
    </xf>
    <xf fontId="4" fillId="0" borderId="4" numFmtId="0" xfId="0" applyFont="1" applyBorder="1" applyAlignment="1">
      <alignment horizontal="center" vertical="center"/>
    </xf>
    <xf fontId="4" fillId="0" borderId="4" numFmtId="166" xfId="0" applyNumberFormat="1" applyFont="1" applyBorder="1" applyAlignment="1">
      <alignment horizontal="center" vertical="center"/>
    </xf>
    <xf fontId="4" fillId="0" borderId="5" numFmtId="166" xfId="0" applyNumberFormat="1" applyFont="1" applyBorder="1" applyAlignment="1">
      <alignment horizontal="center" vertical="center"/>
    </xf>
    <xf fontId="1" fillId="0" borderId="4" numFmtId="166" xfId="0" applyNumberFormat="1" applyFont="1" applyBorder="1" applyAlignment="1">
      <alignment horizontal="center" vertical="center"/>
    </xf>
    <xf fontId="1" fillId="0" borderId="4" numFmtId="2" xfId="0" applyNumberFormat="1" applyFont="1" applyBorder="1" applyAlignment="1">
      <alignment horizontal="center" vertical="center"/>
    </xf>
    <xf fontId="4" fillId="0" borderId="0" numFmtId="165" xfId="0" applyNumberFormat="1" applyFont="1" applyAlignment="1">
      <alignment horizontal="center" vertical="center" wrapText="1"/>
    </xf>
    <xf fontId="5" fillId="0" borderId="4" numFmtId="165" xfId="0" applyNumberFormat="1" applyFont="1" applyBorder="1" applyAlignment="1">
      <alignment horizontal="center" vertical="center"/>
    </xf>
    <xf fontId="4" fillId="10" borderId="4" numFmtId="165" xfId="0" applyNumberFormat="1" applyFont="1" applyFill="1" applyBorder="1" applyAlignment="1">
      <alignment horizontal="center" vertical="center" wrapText="1"/>
    </xf>
    <xf fontId="4" fillId="10" borderId="4" numFmtId="165" xfId="0" applyNumberFormat="1" applyFont="1" applyFill="1" applyBorder="1" applyAlignment="1">
      <alignment horizontal="center" vertical="center"/>
    </xf>
    <xf fontId="1" fillId="0" borderId="0" numFmtId="165" xfId="0" applyNumberFormat="1" applyFont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microsoft.com/office/2017/10/relationships/person" Target="persons/person.xml"/><Relationship  Id="rId3" Type="http://schemas.openxmlformats.org/officeDocument/2006/relationships/worksheet" Target="worksheets/sheet1.xml"/><Relationship  Id="rId4" Type="http://schemas.openxmlformats.org/officeDocument/2006/relationships/worksheet" Target="worksheets/sheet2.xml"/><Relationship  Id="rId5" Type="http://schemas.openxmlformats.org/officeDocument/2006/relationships/theme" Target="theme/theme1.xml"/><Relationship  Id="rId6" Type="http://schemas.openxmlformats.org/officeDocument/2006/relationships/sharedStrings" Target="sharedStrings.xml"/><Relationship  Id="rId7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ablovo-t470s" id="{222A78D6-13A6-8005-59C6-45A852B9E067}" userId="pablovo-t470s" providerId="Teamlab"/>
</personList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1" dT="2026-01-14T15:51:35.02Z" personId="{222A78D6-13A6-8005-59C6-45A852B9E067}" id="{144BCBE1-AA2B-AF66-A192-8C39C2B2E6A9}" done="0">
    <text xml:space="preserve">GPS: OFF
Bluetooth: OFF
</text>
  </threadedComment>
  <threadedComment ref="B12" dT="2026-01-14T15:50:58.48Z" personId="{222A78D6-13A6-8005-59C6-45A852B9E067}" id="{F01FD7B1-2F45-0B14-9972-A7554400386F}" done="0">
    <text xml:space="preserve">GPS: ON
Bluetooth: ON
</text>
  </threadedComment>
  <threadedComment ref="G6" dT="2026-01-14T13:54:57.22Z" personId="{222A78D6-13A6-8005-59C6-45A852B9E067}" id="{354F0676-B10D-1EF9-4F8D-5B58331E28DF}" done="0">
    <text xml:space="preserve">Esto no es exacto, ya que fue a la hora que se vió apagado, por lo que puede que esta duración haya sido menor aún.
</text>
  </threadedComment>
  <threadedComment ref="B9" dT="2026-01-14T15:50:09.58Z" personId="{222A78D6-13A6-8005-59C6-45A852B9E067}" id="{5BC188A9-7734-CDFA-5E5C-04AFEC523C79}" done="0">
    <text xml:space="preserve">GPS: ON
Bluetooth: OFF
</text>
  </threadedComment>
  <threadedComment ref="B10" dT="2026-01-14T15:52:10.75Z" personId="{222A78D6-13A6-8005-59C6-45A852B9E067}" id="{2DC46168-A174-B54A-40D6-0F62CD9062BE}" done="0">
    <text xml:space="preserve">GPS: OFF
Bluetooth: ON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3" dT="2026-01-16T15:32:19.54Z" personId="{222A78D6-13A6-8005-59C6-45A852B9E067}" id="{09D56106-0768-0620-F096-C8788256A593}" done="0">
    <text xml:space="preserve">Sujeto a cambios. Investigación DHL
</text>
  </threadedComment>
  <threadedComment ref="E3" dT="2026-01-16T15:32:36.28Z" personId="{222A78D6-13A6-8005-59C6-45A852B9E067}" id="{CF5B2ACF-561A-1DE4-B3F1-814FFF68FBC8}" done="0">
    <text xml:space="preserve">Sujeto a cambios. Investigación DHL
</text>
  </threadedComment>
  <threadedComment ref="G8" dT="2026-01-16T15:27:40.20Z" personId="{222A78D6-13A6-8005-59C6-45A852B9E067}" id="{58F1B934-F0EC-B8A6-F92F-6925362D7875}" done="0">
    <text xml:space="preserve">Cambio de Courier Fedex ==&gt; HK DHL
</text>
  </threadedComment>
</ThreadedComments>
</file>

<file path=xl/worksheets/_rels/sheet1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1.xml"/><Relationship  Id="rId2" Type="http://schemas.openxmlformats.org/officeDocument/2006/relationships/comments" Target="../comments1.xml"/><Relationship  Id="rId3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2.xml"/><Relationship  Id="rId2" Type="http://schemas.openxmlformats.org/officeDocument/2006/relationships/comments" Target="../comments2.xml"/><Relationship 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9" defaultRowHeight="14.25"/>
  <cols>
    <col bestFit="1" min="1" max="1" style="1" width="15.40234375"/>
    <col bestFit="1" min="2" max="2" style="1" width="8.0625"/>
    <col bestFit="1" min="3" max="3" style="1" width="13.4140625"/>
    <col bestFit="1" min="4" max="4" style="1" width="6.83203125"/>
    <col customWidth="1" min="5" max="5" style="1" width="13.00390625"/>
    <col bestFit="1" min="6" max="6" style="1" width="5.61328125"/>
    <col bestFit="1" min="7" max="7" style="1" width="10.51171875"/>
    <col customWidth="1" min="8" max="8" style="1" width="4.7109375"/>
    <col bestFit="1" min="9" max="9" style="1" width="15.40234375"/>
    <col bestFit="1" min="10" max="10" style="1" width="14.18359375"/>
    <col customWidth="1" min="11" max="11" style="1" width="14.140625"/>
    <col min="12" max="16384" style="1" width="10.28125"/>
  </cols>
  <sheetData>
    <row r="1" ht="14.25">
      <c r="A1" s="2" t="s">
        <v>0</v>
      </c>
      <c r="B1" s="2"/>
      <c r="C1" s="2"/>
      <c r="D1" s="2"/>
      <c r="E1" s="2"/>
      <c r="F1" s="2"/>
      <c r="G1" s="2"/>
      <c r="H1" s="1"/>
      <c r="I1" s="3" t="s">
        <v>1</v>
      </c>
      <c r="J1" s="3"/>
      <c r="K1" s="3"/>
      <c r="L1" s="1"/>
      <c r="M1" s="1"/>
      <c r="N1" s="1"/>
      <c r="O1" s="1"/>
    </row>
    <row r="2">
      <c r="A2" s="4" t="s">
        <v>2</v>
      </c>
      <c r="B2" s="4" t="s">
        <v>3</v>
      </c>
      <c r="C2" s="4" t="s">
        <v>4</v>
      </c>
      <c r="D2" s="4"/>
      <c r="E2" s="4" t="s">
        <v>5</v>
      </c>
      <c r="F2" s="4"/>
      <c r="G2" s="5" t="s">
        <v>6</v>
      </c>
      <c r="H2" s="1"/>
      <c r="I2" s="6" t="s">
        <v>2</v>
      </c>
      <c r="J2" s="6" t="s">
        <v>6</v>
      </c>
      <c r="K2" s="6"/>
      <c r="L2" s="1"/>
      <c r="M2" s="1"/>
      <c r="N2" s="1"/>
      <c r="O2" s="1"/>
    </row>
    <row r="3">
      <c r="A3" s="4"/>
      <c r="B3" s="4"/>
      <c r="C3" s="7" t="s">
        <v>7</v>
      </c>
      <c r="D3" s="7" t="s">
        <v>8</v>
      </c>
      <c r="E3" s="7" t="s">
        <v>7</v>
      </c>
      <c r="F3" s="7" t="s">
        <v>8</v>
      </c>
      <c r="G3" s="8"/>
      <c r="H3" s="1"/>
      <c r="I3" s="6"/>
      <c r="J3" s="9" t="s">
        <v>9</v>
      </c>
      <c r="K3" s="9" t="s">
        <v>10</v>
      </c>
      <c r="L3" s="1"/>
      <c r="M3" s="1"/>
      <c r="N3" s="1"/>
      <c r="O3" s="1"/>
    </row>
    <row r="4" ht="14.25">
      <c r="A4" s="1" t="s">
        <v>11</v>
      </c>
      <c r="B4" s="1" t="s">
        <v>12</v>
      </c>
      <c r="C4" s="10">
        <v>46034</v>
      </c>
      <c r="D4" s="11">
        <v>0.57291666666666663</v>
      </c>
      <c r="G4" s="1"/>
      <c r="I4" s="12" t="s">
        <v>13</v>
      </c>
      <c r="J4" s="12"/>
      <c r="K4" s="12" t="s">
        <v>14</v>
      </c>
      <c r="L4" s="1"/>
    </row>
    <row r="5" ht="14.25">
      <c r="A5" s="1" t="s">
        <v>15</v>
      </c>
      <c r="B5" s="1" t="s">
        <v>16</v>
      </c>
      <c r="C5" s="10">
        <v>46034</v>
      </c>
      <c r="D5" s="11">
        <v>0.60416666666666663</v>
      </c>
      <c r="G5" s="1"/>
      <c r="I5" s="12" t="s">
        <v>17</v>
      </c>
      <c r="J5" s="12">
        <v>48</v>
      </c>
      <c r="K5" s="12"/>
      <c r="L5" s="1"/>
    </row>
    <row r="6" ht="14.25">
      <c r="A6" s="1" t="s">
        <v>17</v>
      </c>
      <c r="B6" s="1" t="s">
        <v>18</v>
      </c>
      <c r="C6" s="10">
        <v>46035</v>
      </c>
      <c r="D6" s="11">
        <v>0.4375</v>
      </c>
      <c r="E6" s="10">
        <v>46036</v>
      </c>
      <c r="F6" s="11">
        <v>0.33333333333333331</v>
      </c>
      <c r="G6" s="1" t="s">
        <v>19</v>
      </c>
      <c r="I6" s="12" t="s">
        <v>20</v>
      </c>
      <c r="J6" s="12"/>
      <c r="K6" s="12"/>
      <c r="L6" s="1"/>
    </row>
    <row r="7" ht="14.25">
      <c r="A7" s="1" t="s">
        <v>15</v>
      </c>
      <c r="B7" s="1" t="s">
        <v>21</v>
      </c>
      <c r="C7" s="10">
        <v>46035</v>
      </c>
      <c r="D7" s="11">
        <v>0.54166666666666663</v>
      </c>
      <c r="E7" s="1"/>
      <c r="F7" s="1"/>
      <c r="G7" s="1"/>
      <c r="H7" s="1"/>
      <c r="I7" s="12" t="s">
        <v>11</v>
      </c>
      <c r="J7" s="12"/>
      <c r="K7" s="12"/>
      <c r="L7" s="1"/>
    </row>
    <row r="8" ht="14.25">
      <c r="A8" s="1" t="s">
        <v>17</v>
      </c>
      <c r="B8" s="1" t="s">
        <v>18</v>
      </c>
      <c r="C8" s="10">
        <v>46036</v>
      </c>
      <c r="D8" s="11">
        <v>0.59375</v>
      </c>
      <c r="G8" s="1"/>
      <c r="I8" s="12" t="s">
        <v>22</v>
      </c>
      <c r="J8" s="12"/>
      <c r="K8" s="12"/>
      <c r="L8" s="1"/>
    </row>
    <row r="9" ht="14.25">
      <c r="A9" s="1" t="s">
        <v>17</v>
      </c>
      <c r="B9" s="1" t="s">
        <v>23</v>
      </c>
      <c r="C9" s="10">
        <v>46036</v>
      </c>
      <c r="D9" s="11">
        <v>0.54166666666666663</v>
      </c>
      <c r="G9" s="1"/>
      <c r="I9" s="12" t="s">
        <v>24</v>
      </c>
      <c r="J9" s="12"/>
      <c r="K9" s="12"/>
      <c r="L9" s="1"/>
    </row>
    <row r="10" ht="14.25">
      <c r="A10" s="1" t="s">
        <v>17</v>
      </c>
      <c r="B10" s="1" t="s">
        <v>25</v>
      </c>
      <c r="C10" s="10">
        <v>46036</v>
      </c>
      <c r="D10" s="11">
        <v>0.54166666666666663</v>
      </c>
      <c r="G10" s="1"/>
      <c r="I10" s="12" t="s">
        <v>15</v>
      </c>
      <c r="J10" s="12"/>
      <c r="K10" s="12"/>
      <c r="L10" s="1"/>
    </row>
    <row r="11" ht="14.25">
      <c r="A11" s="1" t="s">
        <v>17</v>
      </c>
      <c r="B11" s="1" t="s">
        <v>26</v>
      </c>
      <c r="C11" s="10">
        <v>46036</v>
      </c>
      <c r="D11" s="11">
        <v>0.54166666666666663</v>
      </c>
      <c r="G11" s="1"/>
      <c r="I11" s="1"/>
      <c r="J11" s="1"/>
      <c r="K11" s="1"/>
      <c r="L11" s="1"/>
    </row>
    <row r="12" ht="14.25">
      <c r="A12" s="1" t="s">
        <v>17</v>
      </c>
      <c r="B12" s="1" t="s">
        <v>27</v>
      </c>
      <c r="C12" s="10">
        <v>46036</v>
      </c>
      <c r="D12" s="11">
        <v>0.54166666666666663</v>
      </c>
    </row>
    <row r="13" ht="14.25">
      <c r="E13" s="1"/>
      <c r="F13" s="1"/>
      <c r="G13" s="1"/>
      <c r="H13" s="1"/>
    </row>
    <row r="14" ht="14.25">
      <c r="I14" s="1"/>
      <c r="J14" s="1"/>
    </row>
    <row r="15" ht="14.25">
      <c r="I15" s="1"/>
      <c r="J15" s="1"/>
    </row>
    <row r="16" ht="14.25">
      <c r="I16" s="1"/>
      <c r="J16" s="1"/>
    </row>
    <row r="17" ht="14.25">
      <c r="I17" s="1"/>
      <c r="J17" s="1"/>
    </row>
    <row r="18" ht="14.25">
      <c r="J18" s="1"/>
    </row>
    <row r="19" ht="14.25">
      <c r="J19" s="1"/>
    </row>
    <row r="20" ht="14.25">
      <c r="J20" s="1"/>
    </row>
  </sheetData>
  <sortState ref="I4:K10" columnSort="0">
    <sortCondition sortBy="value" descending="0" ref="I4:I10"/>
  </sortState>
  <mergeCells count="9">
    <mergeCell ref="A1:G1"/>
    <mergeCell ref="I1:K1"/>
    <mergeCell ref="A2:A3"/>
    <mergeCell ref="B2:B3"/>
    <mergeCell ref="C2:D2"/>
    <mergeCell ref="E2:F2"/>
    <mergeCell ref="G2:G3"/>
    <mergeCell ref="I2:I3"/>
    <mergeCell ref="J2:K2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A70053-0004-4A5D-861C-0084005D00B1}" type="list" allowBlank="1" errorStyle="stop" imeMode="noControl" operator="between" showDropDown="0" showErrorMessage="1" showInputMessage="1">
          <x14:formula1>
            <xm:f>$I$4:$I$10</xm:f>
          </x14:formula1>
          <xm:sqref>A1:A3 A101:A1048576 A2:A3 A1:G1 A1:G1</xm:sqref>
        </x14:dataValidation>
        <x14:dataValidation xr:uid="{006D006F-00B6-4955-9C49-0093007E005C}" type="list" allowBlank="0" errorStyle="stop" imeMode="noControl" operator="between" promptTitle="" showDropDown="0" showErrorMessage="1" showInputMessage="1">
          <x14:formula1>
            <xm:f>$I$4:$I$10</xm:f>
          </x14:formula1>
          <xm:sqref>A4:A100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style="1" width="27.57421875"/>
    <col bestFit="1" min="2" max="2" style="1" width="15.40234375"/>
    <col bestFit="1" min="3" max="3" style="1" width="14.68359375"/>
    <col bestFit="1" min="4" max="5" style="1" width="19.76171875"/>
    <col bestFit="1" min="6" max="8" style="1" width="12.953125"/>
    <col bestFit="1" min="9" max="9" style="1" width="10.87109375"/>
    <col bestFit="1" min="10" max="10" style="1" width="18.4921875"/>
    <col bestFit="1" min="11" max="11" style="1" width="17.22265625"/>
    <col bestFit="1" min="12" max="12" style="1" width="13.4140625"/>
    <col bestFit="1" min="13" max="13" style="1" width="27.3828125"/>
    <col min="14" max="16384" style="1" width="10.28125"/>
  </cols>
  <sheetData>
    <row r="1" s="13" customFormat="1">
      <c r="A1" s="14" t="s">
        <v>2</v>
      </c>
      <c r="B1" s="14" t="s">
        <v>28</v>
      </c>
      <c r="C1" s="14" t="s">
        <v>29</v>
      </c>
      <c r="D1" s="14" t="s">
        <v>30</v>
      </c>
      <c r="E1" s="14" t="s">
        <v>31</v>
      </c>
      <c r="F1" s="14" t="s">
        <v>32</v>
      </c>
      <c r="G1" s="14" t="s">
        <v>33</v>
      </c>
      <c r="H1" s="14" t="s">
        <v>34</v>
      </c>
      <c r="I1" s="14" t="s">
        <v>35</v>
      </c>
      <c r="J1" s="14" t="s">
        <v>36</v>
      </c>
      <c r="K1" s="15" t="s">
        <v>37</v>
      </c>
      <c r="L1" s="14" t="s">
        <v>38</v>
      </c>
      <c r="M1" s="14" t="s">
        <v>39</v>
      </c>
    </row>
    <row r="2">
      <c r="A2" s="16" t="s">
        <v>40</v>
      </c>
      <c r="B2" s="17">
        <v>155.03999999999999</v>
      </c>
      <c r="C2" s="18">
        <v>38.039999999999999</v>
      </c>
      <c r="D2" s="17">
        <v>47394.489999999998</v>
      </c>
      <c r="E2" s="17">
        <f t="shared" ref="E2:E9" si="0">D2/1505</f>
        <v>31.491355481727574</v>
      </c>
      <c r="F2" s="17">
        <v>0</v>
      </c>
      <c r="G2" s="17">
        <v>0</v>
      </c>
      <c r="H2" s="18">
        <f>B2+C2+E2-F2-G2</f>
        <v>224.57135548172755</v>
      </c>
      <c r="I2" s="19">
        <v>3</v>
      </c>
      <c r="J2" s="20">
        <f>H2/I2</f>
        <v>74.857118493909184</v>
      </c>
      <c r="K2" s="21">
        <v>39</v>
      </c>
      <c r="L2" s="22">
        <f>K2-J2</f>
        <v>-35.857118493909184</v>
      </c>
      <c r="M2" s="23">
        <f>J2*100/K2</f>
        <v>191.941329471562</v>
      </c>
    </row>
    <row r="3">
      <c r="A3" s="16" t="s">
        <v>41</v>
      </c>
      <c r="B3" s="17">
        <v>117</v>
      </c>
      <c r="C3" s="18">
        <v>50.030000000000001</v>
      </c>
      <c r="D3" s="17">
        <v>216634.29999999999</v>
      </c>
      <c r="E3" s="17">
        <f t="shared" si="0"/>
        <v>143.94305647840531</v>
      </c>
      <c r="F3" s="17">
        <v>0</v>
      </c>
      <c r="G3" s="17">
        <v>0</v>
      </c>
      <c r="H3" s="18">
        <f>B3+C3+E3-F3-G3</f>
        <v>310.97305647840528</v>
      </c>
      <c r="I3" s="19">
        <v>3</v>
      </c>
      <c r="J3" s="20">
        <f>H3/I3</f>
        <v>103.65768549280176</v>
      </c>
      <c r="K3" s="21">
        <v>39</v>
      </c>
      <c r="L3" s="22">
        <f>K3-J3</f>
        <v>-64.657685492801761</v>
      </c>
      <c r="M3" s="23">
        <f>J3*100/K3</f>
        <v>265.78893716103016</v>
      </c>
    </row>
    <row r="4">
      <c r="A4" s="16" t="s">
        <v>11</v>
      </c>
      <c r="B4" s="17">
        <v>199.97999999999999</v>
      </c>
      <c r="C4" s="18">
        <v>0</v>
      </c>
      <c r="D4" s="18">
        <v>47.32</v>
      </c>
      <c r="E4" s="17">
        <f t="shared" si="0"/>
        <v>0.031441860465116281</v>
      </c>
      <c r="F4" s="17">
        <v>0</v>
      </c>
      <c r="G4" s="17">
        <v>0</v>
      </c>
      <c r="H4" s="18">
        <f>B4+C4+E4-F4-G4</f>
        <v>200.01144186046511</v>
      </c>
      <c r="I4" s="19">
        <v>4</v>
      </c>
      <c r="J4" s="20">
        <f>H4/I4</f>
        <v>50.002860465116278</v>
      </c>
      <c r="K4" s="21">
        <v>49.990000000000002</v>
      </c>
      <c r="L4" s="22">
        <f>K4-J4</f>
        <v>-0.012860465116276032</v>
      </c>
      <c r="M4" s="23">
        <f>J4*100/K4</f>
        <v>100.02572607544765</v>
      </c>
    </row>
    <row r="5" ht="28.5">
      <c r="A5" s="16" t="s">
        <v>42</v>
      </c>
      <c r="B5" s="17">
        <v>139.80000000000001</v>
      </c>
      <c r="C5" s="18">
        <v>124.48999999999999</v>
      </c>
      <c r="D5" s="17">
        <v>141428.97</v>
      </c>
      <c r="E5" s="17">
        <f t="shared" si="0"/>
        <v>93.972737541528247</v>
      </c>
      <c r="F5" s="17">
        <v>7</v>
      </c>
      <c r="G5" s="17">
        <v>0</v>
      </c>
      <c r="H5" s="18">
        <f>B5+C5+E5-F5-G5</f>
        <v>351.26273754152828</v>
      </c>
      <c r="I5" s="19">
        <v>2</v>
      </c>
      <c r="J5" s="20">
        <f>H5/I5</f>
        <v>175.63136877076414</v>
      </c>
      <c r="K5" s="21">
        <v>69.900000000000006</v>
      </c>
      <c r="L5" s="22">
        <f>K5-J5</f>
        <v>-105.73136877076413</v>
      </c>
      <c r="M5" s="23">
        <f>J5*100/K5</f>
        <v>251.26089952899014</v>
      </c>
    </row>
    <row r="6">
      <c r="A6" s="16" t="s">
        <v>43</v>
      </c>
      <c r="B6" s="17">
        <v>128.69999999999999</v>
      </c>
      <c r="C6" s="17">
        <v>58.969999999999999</v>
      </c>
      <c r="D6" s="17">
        <v>81688.399999999994</v>
      </c>
      <c r="E6" s="17">
        <f t="shared" si="0"/>
        <v>54.278006644518271</v>
      </c>
      <c r="F6" s="17">
        <v>10.4</v>
      </c>
      <c r="G6" s="17">
        <v>0</v>
      </c>
      <c r="H6" s="18">
        <f>B6+C6+E6-F6-G6</f>
        <v>231.54800664451827</v>
      </c>
      <c r="I6" s="19">
        <v>3</v>
      </c>
      <c r="J6" s="20">
        <f>H6/I6</f>
        <v>77.182668881506089</v>
      </c>
      <c r="K6" s="21">
        <v>42.899999999999999</v>
      </c>
      <c r="L6" s="22">
        <f>K6-J6</f>
        <v>-34.28266888150609</v>
      </c>
      <c r="M6" s="23">
        <f>J6*100/K6</f>
        <v>179.91298107577177</v>
      </c>
    </row>
    <row r="7">
      <c r="A7" s="16" t="s">
        <v>44</v>
      </c>
      <c r="B7" s="17">
        <v>219.99000000000001</v>
      </c>
      <c r="C7" s="17">
        <v>35.509999999999998</v>
      </c>
      <c r="D7" s="17">
        <v>98410.949999999997</v>
      </c>
      <c r="E7" s="17">
        <f t="shared" si="0"/>
        <v>65.389335548172753</v>
      </c>
      <c r="F7" s="17">
        <v>0</v>
      </c>
      <c r="G7" s="17">
        <v>0</v>
      </c>
      <c r="H7" s="18">
        <f>B7+C7+E7-F7-G7</f>
        <v>320.88933554817277</v>
      </c>
      <c r="I7" s="19">
        <v>1</v>
      </c>
      <c r="J7" s="20">
        <f>H7/I7</f>
        <v>320.88933554817277</v>
      </c>
      <c r="K7" s="21">
        <v>219.99000000000001</v>
      </c>
      <c r="L7" s="22">
        <f>K7-J7</f>
        <v>-100.89933554817276</v>
      </c>
      <c r="M7" s="23">
        <f>J7*100/K7</f>
        <v>145.86541913185724</v>
      </c>
    </row>
    <row r="8">
      <c r="A8" s="16" t="s">
        <v>45</v>
      </c>
      <c r="B8" s="17">
        <v>145.53</v>
      </c>
      <c r="C8" s="18">
        <v>69.290000000000006</v>
      </c>
      <c r="D8" s="17">
        <v>44915.970000000001</v>
      </c>
      <c r="E8" s="17">
        <f t="shared" si="0"/>
        <v>29.844498338870434</v>
      </c>
      <c r="F8" s="24">
        <v>0</v>
      </c>
      <c r="G8" s="17">
        <v>37</v>
      </c>
      <c r="H8" s="18">
        <f>B8+C8+E8-F8-G8</f>
        <v>207.66449833887043</v>
      </c>
      <c r="I8" s="19">
        <v>3</v>
      </c>
      <c r="J8" s="20">
        <f>H8/I8</f>
        <v>69.221499446290139</v>
      </c>
      <c r="K8" s="21">
        <v>53.899999999999999</v>
      </c>
      <c r="L8" s="22">
        <f>K8-J8</f>
        <v>-15.32149944629014</v>
      </c>
      <c r="M8" s="23">
        <f>J8*100/K8</f>
        <v>128.42578746992604</v>
      </c>
    </row>
    <row r="9">
      <c r="A9" s="16" t="s">
        <v>45</v>
      </c>
      <c r="B9" s="17">
        <v>145.53</v>
      </c>
      <c r="C9" s="17">
        <v>44.049999999999997</v>
      </c>
      <c r="D9" s="17">
        <v>126890.39999999999</v>
      </c>
      <c r="E9" s="17">
        <f t="shared" si="0"/>
        <v>84.312558139534886</v>
      </c>
      <c r="F9" s="17">
        <v>5</v>
      </c>
      <c r="G9" s="17">
        <v>0</v>
      </c>
      <c r="H9" s="18">
        <f>B9+C9+E9-F9-G9</f>
        <v>268.89255813953486</v>
      </c>
      <c r="I9" s="19">
        <v>3</v>
      </c>
      <c r="J9" s="20">
        <f>H9/I9</f>
        <v>89.630852713178285</v>
      </c>
      <c r="K9" s="21">
        <v>53.899999999999999</v>
      </c>
      <c r="L9" s="22">
        <f>K9-J9</f>
        <v>-35.730852713178287</v>
      </c>
      <c r="M9" s="23">
        <f>J9*100/K9</f>
        <v>166.29100688901352</v>
      </c>
    </row>
    <row r="10">
      <c r="A10" s="16" t="s">
        <v>46</v>
      </c>
      <c r="B10" s="17">
        <v>145.53</v>
      </c>
      <c r="C10" s="17">
        <v>78.620000000000005</v>
      </c>
      <c r="D10" s="25">
        <v>71142.169999999998</v>
      </c>
      <c r="E10" s="17">
        <f t="shared" ref="E10:E11" si="1">D10/1505</f>
        <v>47.270544850498339</v>
      </c>
      <c r="F10" s="17">
        <v>0</v>
      </c>
      <c r="G10" s="17">
        <v>0</v>
      </c>
      <c r="H10" s="18">
        <f>B10+C10+E10-F10-G10</f>
        <v>271.42054485049835</v>
      </c>
      <c r="I10" s="19">
        <v>3</v>
      </c>
      <c r="J10" s="20">
        <f>H10/I10</f>
        <v>90.47351495016612</v>
      </c>
      <c r="K10" s="21">
        <v>53.899999999999999</v>
      </c>
      <c r="L10" s="22">
        <f>K10-J10</f>
        <v>-36.573514950166121</v>
      </c>
      <c r="M10" s="23">
        <f>J10*100/K10</f>
        <v>167.85438766264588</v>
      </c>
    </row>
    <row r="11">
      <c r="A11" s="16" t="s">
        <v>47</v>
      </c>
      <c r="B11" s="17">
        <v>159.80000000000001</v>
      </c>
      <c r="C11" s="26"/>
      <c r="D11" s="27"/>
      <c r="E11" s="26">
        <f t="shared" si="1"/>
        <v>0</v>
      </c>
      <c r="F11" s="26"/>
      <c r="G11" s="26"/>
      <c r="H11" s="18">
        <f>B11+C11+E11-F11-G11</f>
        <v>159.80000000000001</v>
      </c>
      <c r="I11" s="19">
        <v>2</v>
      </c>
      <c r="J11" s="20"/>
      <c r="K11" s="21">
        <v>73.900000000000006</v>
      </c>
      <c r="L11" s="22">
        <f>K11-J11</f>
        <v>73.900000000000006</v>
      </c>
      <c r="M11" s="23">
        <f>J11*100/K11</f>
        <v>0</v>
      </c>
    </row>
    <row r="12">
      <c r="A12" s="16" t="s">
        <v>22</v>
      </c>
      <c r="B12" s="17">
        <v>212.97</v>
      </c>
      <c r="C12" s="17">
        <v>95</v>
      </c>
      <c r="D12" s="18"/>
      <c r="E12" s="17"/>
      <c r="F12" s="17">
        <v>0</v>
      </c>
      <c r="G12" s="17">
        <v>0</v>
      </c>
      <c r="H12" s="18">
        <f>B12+C12+E12-F12-G12</f>
        <v>307.97000000000003</v>
      </c>
      <c r="I12" s="19">
        <v>3</v>
      </c>
      <c r="J12" s="20">
        <f>H12/I12</f>
        <v>102.65666666666668</v>
      </c>
      <c r="K12" s="21">
        <v>77.159999999999997</v>
      </c>
      <c r="L12" s="22">
        <f>K12-J12</f>
        <v>-25.496666666666684</v>
      </c>
      <c r="M12" s="23">
        <f>J12*100/K12</f>
        <v>133.0438914809055</v>
      </c>
    </row>
    <row r="13">
      <c r="A13" s="1"/>
      <c r="G13" s="1"/>
      <c r="H13" s="28">
        <f>SUM(H2:H12)</f>
        <v>2855.0035348837209</v>
      </c>
      <c r="I13" s="1">
        <f>SUM(I2:I12)</f>
        <v>30</v>
      </c>
    </row>
    <row r="14">
      <c r="A14" s="1"/>
    </row>
    <row r="15">
      <c r="A15" s="1"/>
    </row>
    <row r="16">
      <c r="A16" s="1"/>
    </row>
    <row r="17">
      <c r="A17" s="1"/>
    </row>
    <row r="18">
      <c r="A18" s="1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5</cp:revision>
  <dcterms:modified xsi:type="dcterms:W3CDTF">2026-01-16T16:03:59Z</dcterms:modified>
</cp:coreProperties>
</file>